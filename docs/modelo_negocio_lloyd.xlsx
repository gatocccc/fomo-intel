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Escenarios" sheetId="2" state="visible" r:id="rId4"/>
    <sheet name="Sensibilidad" sheetId="3" state="visible" r:id="rId5"/>
    <sheet name="Alternativas" sheetId="4" state="visible" r:id="rId6"/>
    <sheet name="Escenarios B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<sst xmlns="http://schemas.openxmlformats.org/spreadsheetml/2006/main" count="133" uniqueCount="118">
  <si>
    <t xml:space="preserve">Lloyd's Tavern · supuestos del modelo</t>
  </si>
  <si>
    <t xml:space="preserve">Celdas en azul con fondo amarillo = editables. Todo lo demás es fórmula. Lo observado sale del libro real (state/plan_lloyd y mesa original, 27–29/10/2026).</t>
  </si>
  <si>
    <t xml:space="preserve">CÓMO OPERA EL BOT</t>
  </si>
  <si>
    <t xml:space="preserve">Rotación diaria del capital (US$ operados / capital, por día)</t>
  </si>
  <si>
    <t xml:space="preserve">Observado: mesa original ~1,0x/día (US$400 sobre US$100–230 en 2 días); libro 3,1x el día de la migración (atípico: rebalanceo). 0,6 es un régimen normal con posiciones de 12–48 h. Probá 0,3 y 1,0.</t>
  </si>
  <si>
    <t xml:space="preserve">Tamaño medio de cada operación (% del capital)</t>
  </si>
  <si>
    <t xml:space="preserve">Observado: US$1.900 / 31 operaciones = US$61 sobre US$600 ≈ 10%.</t>
  </si>
  <si>
    <t xml:space="preserve">Días por mes</t>
  </si>
  <si>
    <t xml:space="preserve">El bot opera todos los días.</t>
  </si>
  <si>
    <t xml:space="preserve">Rendimiento bruto mensual del libro (antes de nuestras comisiones)</t>
  </si>
  <si>
    <t xml:space="preserve">Escenario base. Es LA incógnita: dos días de historial no alcanzan. Las hojas de escenarios lo varían de −10% a +40%.</t>
  </si>
  <si>
    <t xml:space="preserve">COSTOS DE EJECUCIÓN QUE PAGA EL CLIENTE (no son nuestros)</t>
  </si>
  <si>
    <t xml:space="preserve">Slippage medio por operación</t>
  </si>
  <si>
    <t xml:space="preserve">Observado: 2,10% promedio en 19 operaciones con tokens. Ya está dentro del rendimiento bruto; se muestra para dimensionar.</t>
  </si>
  <si>
    <t xml:space="preserve">Comisión del pool/DEX por operación (Jupiter + LP)</t>
  </si>
  <si>
    <t xml:space="preserve">Típico 0,25–0,30% en pools de Raydium/Meteora. Ya dentro del rendimiento bruto.</t>
  </si>
  <si>
    <t xml:space="preserve">PRICING ACTUAL</t>
  </si>
  <si>
    <t xml:space="preserve">Holders · comisión por operación (cada compra o venta)</t>
  </si>
  <si>
    <t xml:space="preserve">Lo publicado hoy.</t>
  </si>
  <si>
    <t xml:space="preserve">Holders · comisión sobre ganancias</t>
  </si>
  <si>
    <t xml:space="preserve">Lo publicado hoy: nada.</t>
  </si>
  <si>
    <t xml:space="preserve">Externos · comisión por operación</t>
  </si>
  <si>
    <t xml:space="preserve">Externos · comisión sobre ganancias</t>
  </si>
  <si>
    <t xml:space="preserve">Lo publicado hoy: 10% de cada operación ganadora. El modelo lo aplica sobre la ganancia neta mensual (con marca de agua), que es lo defendible.</t>
  </si>
  <si>
    <t xml:space="preserve">COSTOS NUESTROS · variables por operación</t>
  </si>
  <si>
    <t xml:space="preserve">Costo on-chain por operación (gas + prioridad), US$</t>
  </si>
  <si>
    <t xml:space="preserve">Solana: 0,0005–0,001 SOL con prioridad para confirmar rápido (≈ US$0,05–0,10 a SOL ≈ US$100). Lo paga la billetera del usuario, pero si queremos que no lo note lo absorbemos.</t>
  </si>
  <si>
    <t xml:space="preserve">Créditos RPC (Helius) por operación, US$</t>
  </si>
  <si>
    <t xml:space="preserve">Cada operación dispara cotización, simulación, envío y seguimiento. Con el plan Developer (10M créditos) sale ~US$0,005–0,02.</t>
  </si>
  <si>
    <t xml:space="preserve">COSTOS NUESTROS · fijos mensuales (US$)</t>
  </si>
  <si>
    <t xml:space="preserve">Servidores (Hetzner)</t>
  </si>
  <si>
    <t xml:space="preserve">Estimado: el servidor del bot + el de la app. Ajustá con la factura real.</t>
  </si>
  <si>
    <t xml:space="preserve">Helius (RPC + webhooks)</t>
  </si>
  <si>
    <t xml:space="preserve">Plan Developer. Pasa a US$249 (Business) a partir de ~50 usuarios activos por el volumen de llamadas; el modelo lo hace solo (ver Escenarios).</t>
  </si>
  <si>
    <t xml:space="preserve">Helius · umbral de usuarios para subir de plan</t>
  </si>
  <si>
    <t xml:space="preserve">Supuesto. A partir de este número de usuarios se usa el plan Business.</t>
  </si>
  <si>
    <t xml:space="preserve">Helius · plan Business</t>
  </si>
  <si>
    <t xml:space="preserve">Claude (cerebro, sesiones de investigación, admin)</t>
  </si>
  <si>
    <t xml:space="preserve">Hoy corre sobre la suscripción de Gastón. Poné acá la parte que le atribuís al bot.</t>
  </si>
  <si>
    <t xml:space="preserve">X/Twitter API (cazador de tweets)</t>
  </si>
  <si>
    <t xml:space="preserve">Hoy apagado (el experimento se descartó). Si se reactiva: US$100–200/mes.</t>
  </si>
  <si>
    <t xml:space="preserve">Dominio, mail, varios</t>
  </si>
  <si>
    <t xml:space="preserve">USUARIOS</t>
  </si>
  <si>
    <t xml:space="preserve">Depósito promedio por usuario (US$)</t>
  </si>
  <si>
    <t xml:space="preserve">Tu pregunta: 10 personas con US$1.000 cada una.</t>
  </si>
  <si>
    <t xml:space="preserve">Proporción de usuarios que son holders de Nonco Genesis</t>
  </si>
  <si>
    <t xml:space="preserve">Al principio, casi todos (entran primero). Con la lista de espera abierta, baja.</t>
  </si>
  <si>
    <t xml:space="preserve">DERIVADOS (fórmulas)</t>
  </si>
  <si>
    <t xml:space="preserve">Operaciones por día por usuario</t>
  </si>
  <si>
    <t xml:space="preserve">rotación / tamaño medio</t>
  </si>
  <si>
    <t xml:space="preserve">Operaciones por mes por usuario</t>
  </si>
  <si>
    <t xml:space="preserve">Volumen operado por mes, como múltiplo del capital</t>
  </si>
  <si>
    <t xml:space="preserve">Con 0,6/día el bot opera 18 veces el capital por mes.</t>
  </si>
  <si>
    <t xml:space="preserve">Comisiones por operación que paga un HOLDER por mes (% de su capital)</t>
  </si>
  <si>
    <t xml:space="preserve">← El número clave. Es lo que el bot tiene que ganar solo para que el cliente empate.</t>
  </si>
  <si>
    <t xml:space="preserve">Comisiones por operación que paga un EXTERNO por mes (% de su capital)</t>
  </si>
  <si>
    <t xml:space="preserve">Costo on-chain + RPC por usuario por mes (US$)</t>
  </si>
  <si>
    <t xml:space="preserve">Flujo mensual proyectado con el PRICING ACTUAL, por cantidad de usuarios</t>
  </si>
  <si>
    <t xml:space="preserve">Un mes. Depósito, mezcla holders/externos y rendimiento bruto vienen de Supuestos. Cambiá los usuarios en la fila 4 (azul).</t>
  </si>
  <si>
    <t xml:space="preserve">Usuarios</t>
  </si>
  <si>
    <t xml:space="preserve">Capital total en la plataforma (AUM)</t>
  </si>
  <si>
    <t xml:space="preserve">  de holders</t>
  </si>
  <si>
    <t xml:space="preserve">  de externos</t>
  </si>
  <si>
    <t xml:space="preserve">Operaciones por mes (todas las billeteras)</t>
  </si>
  <si>
    <t xml:space="preserve">INGRESOS</t>
  </si>
  <si>
    <t xml:space="preserve">Comisión por operación · holders</t>
  </si>
  <si>
    <t xml:space="preserve">Comisión por operación · externos</t>
  </si>
  <si>
    <t xml:space="preserve">Comisión sobre ganancias · externos</t>
  </si>
  <si>
    <t xml:space="preserve">Comisión sobre ganancias · holders</t>
  </si>
  <si>
    <t xml:space="preserve">Ingresos totales</t>
  </si>
  <si>
    <t xml:space="preserve">COSTOS</t>
  </si>
  <si>
    <t xml:space="preserve">On-chain + RPC por operación</t>
  </si>
  <si>
    <t xml:space="preserve">Helius</t>
  </si>
  <si>
    <t xml:space="preserve">Otros fijos (servidores, Claude, X, varios)</t>
  </si>
  <si>
    <t xml:space="preserve">Costos totales</t>
  </si>
  <si>
    <t xml:space="preserve">RESULTADO MENSUAL</t>
  </si>
  <si>
    <t xml:space="preserve">Margen sobre ingresos</t>
  </si>
  <si>
    <t xml:space="preserve">Ingreso por usuario por mes</t>
  </si>
  <si>
    <t xml:space="preserve">LO QUE VE EL CLIENTE (externo)</t>
  </si>
  <si>
    <t xml:space="preserve">Rendimiento bruto del libro</t>
  </si>
  <si>
    <t xml:space="preserve">− comisiones por operación</t>
  </si>
  <si>
    <t xml:space="preserve">− comisión sobre ganancias</t>
  </si>
  <si>
    <t xml:space="preserve">Rendimiento neto del cliente externo</t>
  </si>
  <si>
    <t xml:space="preserve">Rendimiento neto del cliente holder</t>
  </si>
  <si>
    <t xml:space="preserve">Rendimiento bruto que el bot necesita solo para que el externo empate</t>
  </si>
  <si>
    <t xml:space="preserve">¿Cuánto le queda al cliente con el pricing actual? Rendimiento neto mensual del cliente EXTERNO</t>
  </si>
  <si>
    <t xml:space="preserve">Filas: rendimiento bruto del libro en el mes. Columnas: rotación diaria del capital. Verde = el cliente gana; rojo = pierde aunque el bot haya ganado.</t>
  </si>
  <si>
    <t xml:space="preserve">bruto ↓ / rotación →</t>
  </si>
  <si>
    <t xml:space="preserve">Misma tabla para un HOLDER (1% por operación, sin comisión sobre ganancias)</t>
  </si>
  <si>
    <t xml:space="preserve">Tres formas de cobrar, comparadas con los mismos supuestos</t>
  </si>
  <si>
    <t xml:space="preserve">Editá los azules. Cada columna es un modelo de pricing; abajo, qué le queda al cliente y qué nos queda a nosotros por cada US$1.000 de un cliente externo, en un mes.</t>
  </si>
  <si>
    <t xml:space="preserve">A · Actual</t>
  </si>
  <si>
    <t xml:space="preserve">B · Mixto</t>
  </si>
  <si>
    <t xml:space="preserve">C · Solo éxito</t>
  </si>
  <si>
    <t xml:space="preserve">Externos · comisión sobre ganancia neta mensual (con marca de agua)</t>
  </si>
  <si>
    <t xml:space="preserve">Holders · comisión por operación</t>
  </si>
  <si>
    <t xml:space="preserve">Holders · comisión sobre ganancia neta mensual</t>
  </si>
  <si>
    <t xml:space="preserve">Cuota fija mensual por usuario (US$)</t>
  </si>
  <si>
    <t xml:space="preserve">Nota: B y C cobran sobre la ganancia NETA del mes y solo por encima del máximo anterior (marca de agua). Es el estándar de fondos y copy-trading; nadie paga por recuperar lo que perdió.</t>
  </si>
  <si>
    <t xml:space="preserve">POR CADA US$1.000 DE UN CLIENTE EXTERNO, EN UN MES</t>
  </si>
  <si>
    <t xml:space="preserve">Ganancia bruta del libro (US$)</t>
  </si>
  <si>
    <t xml:space="preserve">Comisiones por operación (US$)</t>
  </si>
  <si>
    <t xml:space="preserve">Ganancia neta antes de la comisión de éxito (US$)</t>
  </si>
  <si>
    <t xml:space="preserve">Comisión de éxito (US$)</t>
  </si>
  <si>
    <t xml:space="preserve">Cuota fija (US$)</t>
  </si>
  <si>
    <t xml:space="preserve">Al cliente le queda (US$)</t>
  </si>
  <si>
    <t xml:space="preserve">Rendimiento neto del cliente</t>
  </si>
  <si>
    <t xml:space="preserve">Nos queda (US$)</t>
  </si>
  <si>
    <t xml:space="preserve">Costo nuestro on-chain + RPC (US$)</t>
  </si>
  <si>
    <t xml:space="preserve">Margen bruto nuestro por cliente (US$)</t>
  </si>
  <si>
    <t xml:space="preserve">Bruto que el bot necesita para que el cliente empate</t>
  </si>
  <si>
    <t xml:space="preserve">LOS MISMOS TRES MODELOS EN UN MES MALO (bruto −10%)</t>
  </si>
  <si>
    <t xml:space="preserve">Lectura: en A cobramos lo mismo gane o pierda el cliente (y más cuanto más opera el bot, que es un incentivo peligroso). En B y C cobramos cuando el cliente gana; en el mes malo cobramos poco o nada, que es lo que hace que la gente se quede.</t>
  </si>
  <si>
    <t xml:space="preserve">Flujo mensual proyectado con el PRICING B (mixto), por cantidad de usuarios</t>
  </si>
  <si>
    <t xml:space="preserve">Mismos supuestos que Escenarios; comisiones tomadas de la columna B de Alternativas.</t>
  </si>
  <si>
    <t xml:space="preserve">Ingresos · comisión por operación</t>
  </si>
  <si>
    <t xml:space="preserve">Ingresos · comisión de éxito</t>
  </si>
  <si>
    <t xml:space="preserve">Ingresos · cuota fija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</si>
</sst>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.0%"/>
    <numFmt numFmtId="167" formatCode="0"/>
    <numFmt numFmtId="168" formatCode="\$#,##0.00;&quot;($&quot;#,##0.00\);\-"/>
    <numFmt numFmtId="169" formatCode="\$#,##0;&quot;($&quot;#,##0\);\-"/>
    <numFmt numFmtId="170" formatCode="0.0\x"/>
    <numFmt numFmtId="171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D9EAD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4CC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2"/>
      <c r="C4" s="2"/>
    </row>
    <row r="5" customFormat="false" ht="32.8" hidden="false" customHeight="false" outlineLevel="0" collapsed="false">
      <c r="A5" s="2" t="s">
        <v>3</v>
      </c>
      <c r="B5" s="5" t="n">
        <v>0.6</v>
      </c>
      <c r="C5" s="6" t="s">
        <v>4</v>
      </c>
    </row>
    <row r="6" customFormat="false" ht="15" hidden="false" customHeight="false" outlineLevel="0" collapsed="false">
      <c r="A6" s="2" t="s">
        <v>5</v>
      </c>
      <c r="B6" s="7" t="n">
        <v>0.1</v>
      </c>
      <c r="C6" s="6" t="s">
        <v>6</v>
      </c>
    </row>
    <row r="7" customFormat="false" ht="15" hidden="false" customHeight="false" outlineLevel="0" collapsed="false">
      <c r="A7" s="2" t="s">
        <v>7</v>
      </c>
      <c r="B7" s="8" t="n">
        <v>30</v>
      </c>
      <c r="C7" s="6" t="s">
        <v>8</v>
      </c>
    </row>
    <row r="8" customFormat="false" ht="22.35" hidden="false" customHeight="false" outlineLevel="0" collapsed="false">
      <c r="A8" s="2" t="s">
        <v>9</v>
      </c>
      <c r="B8" s="7" t="n">
        <v>0.1</v>
      </c>
      <c r="C8" s="6" t="s">
        <v>10</v>
      </c>
    </row>
    <row r="9" customFormat="false" ht="15" hidden="false" customHeight="false" outlineLevel="0" collapsed="false">
      <c r="A9" s="9"/>
      <c r="B9" s="2"/>
      <c r="C9" s="2"/>
    </row>
    <row r="10" customFormat="false" ht="15" hidden="false" customHeight="false" outlineLevel="0" collapsed="false">
      <c r="A10" s="4" t="s">
        <v>11</v>
      </c>
      <c r="B10" s="2"/>
      <c r="C10" s="2"/>
    </row>
    <row r="11" customFormat="false" ht="22.35" hidden="false" customHeight="false" outlineLevel="0" collapsed="false">
      <c r="A11" s="2" t="s">
        <v>12</v>
      </c>
      <c r="B11" s="7" t="n">
        <v>0.021</v>
      </c>
      <c r="C11" s="6" t="s">
        <v>13</v>
      </c>
    </row>
    <row r="12" customFormat="false" ht="15" hidden="false" customHeight="false" outlineLevel="0" collapsed="false">
      <c r="A12" s="2" t="s">
        <v>14</v>
      </c>
      <c r="B12" s="7" t="n">
        <v>0.003</v>
      </c>
      <c r="C12" s="6" t="s">
        <v>15</v>
      </c>
    </row>
    <row r="13" customFormat="false" ht="15" hidden="false" customHeight="false" outlineLevel="0" collapsed="false">
      <c r="A13" s="9"/>
      <c r="B13" s="2"/>
      <c r="C13" s="2"/>
    </row>
    <row r="14" customFormat="false" ht="15" hidden="false" customHeight="false" outlineLevel="0" collapsed="false">
      <c r="A14" s="4" t="s">
        <v>16</v>
      </c>
      <c r="B14" s="2"/>
      <c r="C14" s="2"/>
    </row>
    <row r="15" customFormat="false" ht="15" hidden="false" customHeight="false" outlineLevel="0" collapsed="false">
      <c r="A15" s="2" t="s">
        <v>17</v>
      </c>
      <c r="B15" s="7" t="n">
        <v>0.01</v>
      </c>
      <c r="C15" s="6" t="s">
        <v>18</v>
      </c>
    </row>
    <row r="16" customFormat="false" ht="15" hidden="false" customHeight="false" outlineLevel="0" collapsed="false">
      <c r="A16" s="2" t="s">
        <v>19</v>
      </c>
      <c r="B16" s="7" t="n">
        <v>0</v>
      </c>
      <c r="C16" s="6" t="s">
        <v>20</v>
      </c>
    </row>
    <row r="17" customFormat="false" ht="15" hidden="false" customHeight="false" outlineLevel="0" collapsed="false">
      <c r="A17" s="2" t="s">
        <v>21</v>
      </c>
      <c r="B17" s="7" t="n">
        <v>0.02</v>
      </c>
      <c r="C17" s="6" t="s">
        <v>18</v>
      </c>
    </row>
    <row r="18" customFormat="false" ht="22.35" hidden="false" customHeight="false" outlineLevel="0" collapsed="false">
      <c r="A18" s="2" t="s">
        <v>22</v>
      </c>
      <c r="B18" s="7" t="n">
        <v>0.1</v>
      </c>
      <c r="C18" s="6" t="s">
        <v>23</v>
      </c>
    </row>
    <row r="19" customFormat="false" ht="15" hidden="false" customHeight="false" outlineLevel="0" collapsed="false">
      <c r="A19" s="9"/>
      <c r="B19" s="2"/>
      <c r="C19" s="2"/>
    </row>
    <row r="20" customFormat="false" ht="15" hidden="false" customHeight="false" outlineLevel="0" collapsed="false">
      <c r="A20" s="4" t="s">
        <v>24</v>
      </c>
      <c r="B20" s="2"/>
      <c r="C20" s="2"/>
    </row>
    <row r="21" customFormat="false" ht="22.35" hidden="false" customHeight="false" outlineLevel="0" collapsed="false">
      <c r="A21" s="2" t="s">
        <v>25</v>
      </c>
      <c r="B21" s="10" t="n">
        <v>0.08</v>
      </c>
      <c r="C21" s="6" t="s">
        <v>26</v>
      </c>
    </row>
    <row r="22" customFormat="false" ht="22.35" hidden="false" customHeight="false" outlineLevel="0" collapsed="false">
      <c r="A22" s="2" t="s">
        <v>27</v>
      </c>
      <c r="B22" s="10" t="n">
        <v>0.01</v>
      </c>
      <c r="C22" s="6" t="s">
        <v>28</v>
      </c>
    </row>
    <row r="23" customFormat="false" ht="15" hidden="false" customHeight="false" outlineLevel="0" collapsed="false">
      <c r="A23" s="9"/>
      <c r="B23" s="2"/>
      <c r="C23" s="2"/>
    </row>
    <row r="24" customFormat="false" ht="15" hidden="false" customHeight="false" outlineLevel="0" collapsed="false">
      <c r="A24" s="4" t="s">
        <v>29</v>
      </c>
      <c r="B24" s="2"/>
      <c r="C24" s="2"/>
    </row>
    <row r="25" customFormat="false" ht="15" hidden="false" customHeight="false" outlineLevel="0" collapsed="false">
      <c r="A25" s="2" t="s">
        <v>30</v>
      </c>
      <c r="B25" s="11" t="n">
        <v>45</v>
      </c>
      <c r="C25" s="6" t="s">
        <v>31</v>
      </c>
    </row>
    <row r="26" customFormat="false" ht="22.35" hidden="false" customHeight="false" outlineLevel="0" collapsed="false">
      <c r="A26" s="2" t="s">
        <v>32</v>
      </c>
      <c r="B26" s="11" t="n">
        <v>49</v>
      </c>
      <c r="C26" s="6" t="s">
        <v>33</v>
      </c>
    </row>
    <row r="27" customFormat="false" ht="15" hidden="false" customHeight="false" outlineLevel="0" collapsed="false">
      <c r="A27" s="2" t="s">
        <v>34</v>
      </c>
      <c r="B27" s="8" t="n">
        <v>50</v>
      </c>
      <c r="C27" s="6" t="s">
        <v>35</v>
      </c>
    </row>
    <row r="28" customFormat="false" ht="15" hidden="false" customHeight="false" outlineLevel="0" collapsed="false">
      <c r="A28" s="2" t="s">
        <v>36</v>
      </c>
      <c r="B28" s="11" t="n">
        <v>249</v>
      </c>
      <c r="C28" s="6"/>
    </row>
    <row r="29" customFormat="false" ht="15" hidden="false" customHeight="false" outlineLevel="0" collapsed="false">
      <c r="A29" s="2" t="s">
        <v>37</v>
      </c>
      <c r="B29" s="11" t="n">
        <v>200</v>
      </c>
      <c r="C29" s="6" t="s">
        <v>38</v>
      </c>
    </row>
    <row r="30" customFormat="false" ht="15" hidden="false" customHeight="false" outlineLevel="0" collapsed="false">
      <c r="A30" s="2" t="s">
        <v>39</v>
      </c>
      <c r="B30" s="11" t="n">
        <v>0</v>
      </c>
      <c r="C30" s="6" t="s">
        <v>40</v>
      </c>
    </row>
    <row r="31" customFormat="false" ht="15" hidden="false" customHeight="false" outlineLevel="0" collapsed="false">
      <c r="A31" s="2" t="s">
        <v>41</v>
      </c>
      <c r="B31" s="11" t="n">
        <v>15</v>
      </c>
      <c r="C31" s="6"/>
    </row>
    <row r="32" customFormat="false" ht="15" hidden="false" customHeight="false" outlineLevel="0" collapsed="false">
      <c r="A32" s="9"/>
      <c r="B32" s="2"/>
      <c r="C32" s="2"/>
    </row>
    <row r="33" customFormat="false" ht="15" hidden="false" customHeight="false" outlineLevel="0" collapsed="false">
      <c r="A33" s="4" t="s">
        <v>42</v>
      </c>
      <c r="B33" s="2"/>
      <c r="C33" s="2"/>
    </row>
    <row r="34" customFormat="false" ht="15" hidden="false" customHeight="false" outlineLevel="0" collapsed="false">
      <c r="A34" s="2" t="s">
        <v>43</v>
      </c>
      <c r="B34" s="11" t="n">
        <v>1000</v>
      </c>
      <c r="C34" s="6" t="s">
        <v>44</v>
      </c>
    </row>
    <row r="35" customFormat="false" ht="15" hidden="false" customHeight="false" outlineLevel="0" collapsed="false">
      <c r="A35" s="2" t="s">
        <v>45</v>
      </c>
      <c r="B35" s="7" t="n">
        <v>0.5</v>
      </c>
      <c r="C35" s="6" t="s">
        <v>46</v>
      </c>
    </row>
    <row r="36" customFormat="false" ht="15" hidden="false" customHeight="false" outlineLevel="0" collapsed="false">
      <c r="A36" s="2"/>
      <c r="B36" s="2"/>
      <c r="C36" s="2"/>
    </row>
    <row r="37" customFormat="false" ht="15" hidden="false" customHeight="false" outlineLevel="0" collapsed="false">
      <c r="A37" s="4" t="s">
        <v>47</v>
      </c>
      <c r="B37" s="2"/>
      <c r="C37" s="2"/>
    </row>
    <row r="38" customFormat="false" ht="15" hidden="false" customHeight="false" outlineLevel="0" collapsed="false">
      <c r="A38" s="2" t="s">
        <v>48</v>
      </c>
      <c r="B38" s="12" t="n">
        <f aca="false">Supuestos!$B$5/Supuestos!$B$6</f>
        <v>6</v>
      </c>
      <c r="C38" s="13" t="s">
        <v>49</v>
      </c>
    </row>
    <row r="39" customFormat="false" ht="15" hidden="false" customHeight="false" outlineLevel="0" collapsed="false">
      <c r="A39" s="2" t="s">
        <v>50</v>
      </c>
      <c r="B39" s="14" t="n">
        <f aca="false">B38*Supuestos!$B$7</f>
        <v>180</v>
      </c>
      <c r="C39" s="13"/>
    </row>
    <row r="40" customFormat="false" ht="15" hidden="false" customHeight="false" outlineLevel="0" collapsed="false">
      <c r="A40" s="2" t="s">
        <v>51</v>
      </c>
      <c r="B40" s="15" t="n">
        <f aca="false">Supuestos!$B$5*Supuestos!$B$7</f>
        <v>18</v>
      </c>
      <c r="C40" s="13" t="s">
        <v>52</v>
      </c>
    </row>
    <row r="41" customFormat="false" ht="15" hidden="false" customHeight="false" outlineLevel="0" collapsed="false">
      <c r="A41" s="2" t="s">
        <v>53</v>
      </c>
      <c r="B41" s="16" t="n">
        <f aca="false">B40*Supuestos!$B$15</f>
        <v>0.18</v>
      </c>
      <c r="C41" s="13" t="s">
        <v>54</v>
      </c>
    </row>
    <row r="42" customFormat="false" ht="15" hidden="false" customHeight="false" outlineLevel="0" collapsed="false">
      <c r="A42" s="2" t="s">
        <v>55</v>
      </c>
      <c r="B42" s="16" t="n">
        <f aca="false">B40*Supuestos!$B$17</f>
        <v>0.36</v>
      </c>
      <c r="C42" s="13"/>
    </row>
    <row r="43" customFormat="false" ht="15" hidden="false" customHeight="false" outlineLevel="0" collapsed="false">
      <c r="A43" s="2" t="s">
        <v>56</v>
      </c>
      <c r="B43" s="17" t="n">
        <f aca="false">B39*(Supuestos!$B$21+Supuestos!$B$22)</f>
        <v>16.2</v>
      </c>
      <c r="C4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57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58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9" t="s">
        <v>59</v>
      </c>
      <c r="B4" s="18" t="n">
        <v>10</v>
      </c>
      <c r="C4" s="18" t="n">
        <v>25</v>
      </c>
      <c r="D4" s="18" t="n">
        <v>50</v>
      </c>
      <c r="E4" s="18" t="n">
        <v>100</v>
      </c>
      <c r="F4" s="18" t="n">
        <v>250</v>
      </c>
      <c r="G4" s="18" t="n">
        <v>1000</v>
      </c>
    </row>
    <row r="5" customFormat="false" ht="15" hidden="false" customHeight="false" outlineLevel="0" collapsed="false">
      <c r="A5" s="2" t="s">
        <v>60</v>
      </c>
      <c r="B5" s="19" t="n">
        <f aca="false">B$4*Supuestos!$B$34</f>
        <v>10000</v>
      </c>
      <c r="C5" s="19" t="n">
        <f aca="false">C$4*Supuestos!$B$34</f>
        <v>25000</v>
      </c>
      <c r="D5" s="19" t="n">
        <f aca="false">D$4*Supuestos!$B$34</f>
        <v>50000</v>
      </c>
      <c r="E5" s="19" t="n">
        <f aca="false">E$4*Supuestos!$B$34</f>
        <v>100000</v>
      </c>
      <c r="F5" s="19" t="n">
        <f aca="false">F$4*Supuestos!$B$34</f>
        <v>250000</v>
      </c>
      <c r="G5" s="19" t="n">
        <f aca="false">G$4*Supuestos!$B$34</f>
        <v>1000000</v>
      </c>
    </row>
    <row r="6" customFormat="false" ht="15" hidden="false" customHeight="false" outlineLevel="0" collapsed="false">
      <c r="A6" s="2" t="s">
        <v>61</v>
      </c>
      <c r="B6" s="19" t="n">
        <f aca="false">B5*Supuestos!$B$35</f>
        <v>5000</v>
      </c>
      <c r="C6" s="19" t="n">
        <f aca="false">C5*Supuestos!$B$35</f>
        <v>12500</v>
      </c>
      <c r="D6" s="19" t="n">
        <f aca="false">D5*Supuestos!$B$35</f>
        <v>25000</v>
      </c>
      <c r="E6" s="19" t="n">
        <f aca="false">E5*Supuestos!$B$35</f>
        <v>50000</v>
      </c>
      <c r="F6" s="19" t="n">
        <f aca="false">F5*Supuestos!$B$35</f>
        <v>125000</v>
      </c>
      <c r="G6" s="19" t="n">
        <f aca="false">G5*Supuestos!$B$35</f>
        <v>500000</v>
      </c>
    </row>
    <row r="7" customFormat="false" ht="15" hidden="false" customHeight="false" outlineLevel="0" collapsed="false">
      <c r="A7" s="2" t="s">
        <v>62</v>
      </c>
      <c r="B7" s="19" t="n">
        <f aca="false">B5-B6</f>
        <v>5000</v>
      </c>
      <c r="C7" s="19" t="n">
        <f aca="false">C5-C6</f>
        <v>12500</v>
      </c>
      <c r="D7" s="19" t="n">
        <f aca="false">D5-D6</f>
        <v>25000</v>
      </c>
      <c r="E7" s="19" t="n">
        <f aca="false">E5-E6</f>
        <v>50000</v>
      </c>
      <c r="F7" s="19" t="n">
        <f aca="false">F5-F6</f>
        <v>125000</v>
      </c>
      <c r="G7" s="19" t="n">
        <f aca="false">G5-G6</f>
        <v>500000</v>
      </c>
    </row>
    <row r="8" customFormat="false" ht="15" hidden="false" customHeight="false" outlineLevel="0" collapsed="false">
      <c r="A8" s="2" t="s">
        <v>63</v>
      </c>
      <c r="B8" s="20" t="n">
        <f aca="false">B$4*Supuestos!$B$39</f>
        <v>1800</v>
      </c>
      <c r="C8" s="20" t="n">
        <f aca="false">C$4*Supuestos!$B$39</f>
        <v>4500</v>
      </c>
      <c r="D8" s="20" t="n">
        <f aca="false">D$4*Supuestos!$B$39</f>
        <v>9000</v>
      </c>
      <c r="E8" s="20" t="n">
        <f aca="false">E$4*Supuestos!$B$39</f>
        <v>18000</v>
      </c>
      <c r="F8" s="20" t="n">
        <f aca="false">F$4*Supuestos!$B$39</f>
        <v>45000</v>
      </c>
      <c r="G8" s="20" t="n">
        <f aca="false">G$4*Supuestos!$B$39</f>
        <v>180000</v>
      </c>
    </row>
    <row r="9" customFormat="false" ht="15" hidden="false" customHeight="false" outlineLevel="0" collapsed="false">
      <c r="A9" s="9"/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4" t="s">
        <v>64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65</v>
      </c>
      <c r="B11" s="19" t="n">
        <f aca="false">B6*Supuestos!$B$41</f>
        <v>900</v>
      </c>
      <c r="C11" s="19" t="n">
        <f aca="false">C6*Supuestos!$B$41</f>
        <v>2250</v>
      </c>
      <c r="D11" s="19" t="n">
        <f aca="false">D6*Supuestos!$B$41</f>
        <v>4500</v>
      </c>
      <c r="E11" s="19" t="n">
        <f aca="false">E6*Supuestos!$B$41</f>
        <v>9000</v>
      </c>
      <c r="F11" s="19" t="n">
        <f aca="false">F6*Supuestos!$B$41</f>
        <v>22500</v>
      </c>
      <c r="G11" s="19" t="n">
        <f aca="false">G6*Supuestos!$B$41</f>
        <v>90000</v>
      </c>
    </row>
    <row r="12" customFormat="false" ht="15" hidden="false" customHeight="false" outlineLevel="0" collapsed="false">
      <c r="A12" s="2" t="s">
        <v>66</v>
      </c>
      <c r="B12" s="19" t="n">
        <f aca="false">B7*Supuestos!$B$42</f>
        <v>1800</v>
      </c>
      <c r="C12" s="19" t="n">
        <f aca="false">C7*Supuestos!$B$42</f>
        <v>4500</v>
      </c>
      <c r="D12" s="19" t="n">
        <f aca="false">D7*Supuestos!$B$42</f>
        <v>9000</v>
      </c>
      <c r="E12" s="19" t="n">
        <f aca="false">E7*Supuestos!$B$42</f>
        <v>18000</v>
      </c>
      <c r="F12" s="19" t="n">
        <f aca="false">F7*Supuestos!$B$42</f>
        <v>45000</v>
      </c>
      <c r="G12" s="19" t="n">
        <f aca="false">G7*Supuestos!$B$42</f>
        <v>180000</v>
      </c>
    </row>
    <row r="13" customFormat="false" ht="15" hidden="false" customHeight="false" outlineLevel="0" collapsed="false">
      <c r="A13" s="2" t="s">
        <v>67</v>
      </c>
      <c r="B13" s="19" t="n">
        <f aca="false">B7*MAX(0,Supuestos!$B$8-Supuestos!$B$42)*Supuestos!$B$18</f>
        <v>0</v>
      </c>
      <c r="C13" s="19" t="n">
        <f aca="false">C7*MAX(0,Supuestos!$B$8-Supuestos!$B$42)*Supuestos!$B$18</f>
        <v>0</v>
      </c>
      <c r="D13" s="19" t="n">
        <f aca="false">D7*MAX(0,Supuestos!$B$8-Supuestos!$B$42)*Supuestos!$B$18</f>
        <v>0</v>
      </c>
      <c r="E13" s="19" t="n">
        <f aca="false">E7*MAX(0,Supuestos!$B$8-Supuestos!$B$42)*Supuestos!$B$18</f>
        <v>0</v>
      </c>
      <c r="F13" s="19" t="n">
        <f aca="false">F7*MAX(0,Supuestos!$B$8-Supuestos!$B$42)*Supuestos!$B$18</f>
        <v>0</v>
      </c>
      <c r="G13" s="19" t="n">
        <f aca="false">G7*MAX(0,Supuestos!$B$8-Supuestos!$B$42)*Supuestos!$B$18</f>
        <v>0</v>
      </c>
    </row>
    <row r="14" customFormat="false" ht="15" hidden="false" customHeight="false" outlineLevel="0" collapsed="false">
      <c r="A14" s="2" t="s">
        <v>68</v>
      </c>
      <c r="B14" s="19" t="n">
        <f aca="false">B6*MAX(0,Supuestos!$B$8-Supuestos!$B$41)*Supuestos!$B$16</f>
        <v>0</v>
      </c>
      <c r="C14" s="19" t="n">
        <f aca="false">C6*MAX(0,Supuestos!$B$8-Supuestos!$B$41)*Supuestos!$B$16</f>
        <v>0</v>
      </c>
      <c r="D14" s="19" t="n">
        <f aca="false">D6*MAX(0,Supuestos!$B$8-Supuestos!$B$41)*Supuestos!$B$16</f>
        <v>0</v>
      </c>
      <c r="E14" s="19" t="n">
        <f aca="false">E6*MAX(0,Supuestos!$B$8-Supuestos!$B$41)*Supuestos!$B$16</f>
        <v>0</v>
      </c>
      <c r="F14" s="19" t="n">
        <f aca="false">F6*MAX(0,Supuestos!$B$8-Supuestos!$B$41)*Supuestos!$B$16</f>
        <v>0</v>
      </c>
      <c r="G14" s="19" t="n">
        <f aca="false">G6*MAX(0,Supuestos!$B$8-Supuestos!$B$41)*Supuestos!$B$16</f>
        <v>0</v>
      </c>
    </row>
    <row r="15" customFormat="false" ht="15" hidden="false" customHeight="false" outlineLevel="0" collapsed="false">
      <c r="A15" s="2" t="s">
        <v>69</v>
      </c>
      <c r="B15" s="19" t="n">
        <f aca="false">SUM(B11:B14)</f>
        <v>2700</v>
      </c>
      <c r="C15" s="19" t="n">
        <f aca="false">SUM(C11:C14)</f>
        <v>6750</v>
      </c>
      <c r="D15" s="19" t="n">
        <f aca="false">SUM(D11:D14)</f>
        <v>13500</v>
      </c>
      <c r="E15" s="19" t="n">
        <f aca="false">SUM(E11:E14)</f>
        <v>27000</v>
      </c>
      <c r="F15" s="19" t="n">
        <f aca="false">SUM(F11:F14)</f>
        <v>67500</v>
      </c>
      <c r="G15" s="19" t="n">
        <f aca="false">SUM(G11:G14)</f>
        <v>270000</v>
      </c>
    </row>
    <row r="16" customFormat="false" ht="15" hidden="false" customHeight="false" outlineLevel="0" collapsed="false">
      <c r="A16" s="9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4" t="s">
        <v>70</v>
      </c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2" t="s">
        <v>71</v>
      </c>
      <c r="B18" s="19" t="n">
        <f aca="false">B$4*Supuestos!$B$43</f>
        <v>162</v>
      </c>
      <c r="C18" s="19" t="n">
        <f aca="false">C$4*Supuestos!$B$43</f>
        <v>405</v>
      </c>
      <c r="D18" s="19" t="n">
        <f aca="false">D$4*Supuestos!$B$43</f>
        <v>810</v>
      </c>
      <c r="E18" s="19" t="n">
        <f aca="false">E$4*Supuestos!$B$43</f>
        <v>1620</v>
      </c>
      <c r="F18" s="19" t="n">
        <f aca="false">F$4*Supuestos!$B$43</f>
        <v>4050</v>
      </c>
      <c r="G18" s="19" t="n">
        <f aca="false">G$4*Supuestos!$B$43</f>
        <v>16200</v>
      </c>
    </row>
    <row r="19" customFormat="false" ht="15" hidden="false" customHeight="false" outlineLevel="0" collapsed="false">
      <c r="A19" s="2" t="s">
        <v>72</v>
      </c>
      <c r="B19" s="19" t="n">
        <f aca="false">IF(B$4&gt;=Supuestos!$B$27,Supuestos!$B$28,Supuestos!$B$26)</f>
        <v>49</v>
      </c>
      <c r="C19" s="19" t="n">
        <f aca="false">IF(C$4&gt;=Supuestos!$B$27,Supuestos!$B$28,Supuestos!$B$26)</f>
        <v>49</v>
      </c>
      <c r="D19" s="19" t="n">
        <f aca="false">IF(D$4&gt;=Supuestos!$B$27,Supuestos!$B$28,Supuestos!$B$26)</f>
        <v>249</v>
      </c>
      <c r="E19" s="19" t="n">
        <f aca="false">IF(E$4&gt;=Supuestos!$B$27,Supuestos!$B$28,Supuestos!$B$26)</f>
        <v>249</v>
      </c>
      <c r="F19" s="19" t="n">
        <f aca="false">IF(F$4&gt;=Supuestos!$B$27,Supuestos!$B$28,Supuestos!$B$26)</f>
        <v>249</v>
      </c>
      <c r="G19" s="19" t="n">
        <f aca="false">IF(G$4&gt;=Supuestos!$B$27,Supuestos!$B$28,Supuestos!$B$26)</f>
        <v>249</v>
      </c>
    </row>
    <row r="20" customFormat="false" ht="15" hidden="false" customHeight="false" outlineLevel="0" collapsed="false">
      <c r="A20" s="2" t="s">
        <v>73</v>
      </c>
      <c r="B20" s="19" t="n">
        <f aca="false">Supuestos!$B$25+Supuestos!$B$29+Supuestos!$B$30+Supuestos!$B$31</f>
        <v>260</v>
      </c>
      <c r="C20" s="19" t="n">
        <f aca="false">Supuestos!$B$25+Supuestos!$B$29+Supuestos!$B$30+Supuestos!$B$31</f>
        <v>260</v>
      </c>
      <c r="D20" s="19" t="n">
        <f aca="false">Supuestos!$B$25+Supuestos!$B$29+Supuestos!$B$30+Supuestos!$B$31</f>
        <v>260</v>
      </c>
      <c r="E20" s="19" t="n">
        <f aca="false">Supuestos!$B$25+Supuestos!$B$29+Supuestos!$B$30+Supuestos!$B$31</f>
        <v>260</v>
      </c>
      <c r="F20" s="19" t="n">
        <f aca="false">Supuestos!$B$25+Supuestos!$B$29+Supuestos!$B$30+Supuestos!$B$31</f>
        <v>260</v>
      </c>
      <c r="G20" s="19" t="n">
        <f aca="false">Supuestos!$B$25+Supuestos!$B$29+Supuestos!$B$30+Supuestos!$B$31</f>
        <v>260</v>
      </c>
    </row>
    <row r="21" customFormat="false" ht="15" hidden="false" customHeight="false" outlineLevel="0" collapsed="false">
      <c r="A21" s="2" t="s">
        <v>74</v>
      </c>
      <c r="B21" s="19" t="n">
        <f aca="false">SUM(B18:B20)</f>
        <v>471</v>
      </c>
      <c r="C21" s="19" t="n">
        <f aca="false">SUM(C18:C20)</f>
        <v>714</v>
      </c>
      <c r="D21" s="19" t="n">
        <f aca="false">SUM(D18:D20)</f>
        <v>1319</v>
      </c>
      <c r="E21" s="19" t="n">
        <f aca="false">SUM(E18:E20)</f>
        <v>2129</v>
      </c>
      <c r="F21" s="19" t="n">
        <f aca="false">SUM(F18:F20)</f>
        <v>4559</v>
      </c>
      <c r="G21" s="19" t="n">
        <f aca="false">SUM(G18:G20)</f>
        <v>16709</v>
      </c>
    </row>
    <row r="22" customFormat="false" ht="15" hidden="false" customHeight="false" outlineLevel="0" collapsed="false">
      <c r="A22" s="9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2" t="s">
        <v>75</v>
      </c>
      <c r="B23" s="21" t="n">
        <f aca="false">B15-B21</f>
        <v>2229</v>
      </c>
      <c r="C23" s="21" t="n">
        <f aca="false">C15-C21</f>
        <v>6036</v>
      </c>
      <c r="D23" s="21" t="n">
        <f aca="false">D15-D21</f>
        <v>12181</v>
      </c>
      <c r="E23" s="21" t="n">
        <f aca="false">E15-E21</f>
        <v>24871</v>
      </c>
      <c r="F23" s="21" t="n">
        <f aca="false">F15-F21</f>
        <v>62941</v>
      </c>
      <c r="G23" s="21" t="n">
        <f aca="false">G15-G21</f>
        <v>253291</v>
      </c>
    </row>
    <row r="24" customFormat="false" ht="15" hidden="false" customHeight="false" outlineLevel="0" collapsed="false">
      <c r="A24" s="2" t="s">
        <v>76</v>
      </c>
      <c r="B24" s="16" t="n">
        <f aca="false">IF(B15=0,0,B23/B15)</f>
        <v>0.825555555555556</v>
      </c>
      <c r="C24" s="16" t="n">
        <f aca="false">IF(C15=0,0,C23/C15)</f>
        <v>0.894222222222222</v>
      </c>
      <c r="D24" s="16" t="n">
        <f aca="false">IF(D15=0,0,D23/D15)</f>
        <v>0.902296296296296</v>
      </c>
      <c r="E24" s="16" t="n">
        <f aca="false">IF(E15=0,0,E23/E15)</f>
        <v>0.921148148148148</v>
      </c>
      <c r="F24" s="16" t="n">
        <f aca="false">IF(F15=0,0,F23/F15)</f>
        <v>0.932459259259259</v>
      </c>
      <c r="G24" s="16" t="n">
        <f aca="false">IF(G15=0,0,G23/G15)</f>
        <v>0.938114814814815</v>
      </c>
    </row>
    <row r="25" customFormat="false" ht="15" hidden="false" customHeight="false" outlineLevel="0" collapsed="false">
      <c r="A25" s="2" t="s">
        <v>77</v>
      </c>
      <c r="B25" s="19" t="n">
        <f aca="false">IF(B$4=0,0,B15/B$4)</f>
        <v>270</v>
      </c>
      <c r="C25" s="19" t="n">
        <f aca="false">IF(C$4=0,0,C15/C$4)</f>
        <v>270</v>
      </c>
      <c r="D25" s="19" t="n">
        <f aca="false">IF(D$4=0,0,D15/D$4)</f>
        <v>270</v>
      </c>
      <c r="E25" s="19" t="n">
        <f aca="false">IF(E$4=0,0,E15/E$4)</f>
        <v>270</v>
      </c>
      <c r="F25" s="19" t="n">
        <f aca="false">IF(F$4=0,0,F15/F$4)</f>
        <v>270</v>
      </c>
      <c r="G25" s="19" t="n">
        <f aca="false">IF(G$4=0,0,G15/G$4)</f>
        <v>270</v>
      </c>
    </row>
    <row r="26" customFormat="false" ht="15" hidden="false" customHeight="false" outlineLevel="0" collapsed="false">
      <c r="A26" s="9"/>
      <c r="B26" s="2"/>
      <c r="C26" s="2"/>
      <c r="D26" s="2"/>
      <c r="E26" s="2"/>
      <c r="F26" s="2"/>
      <c r="G26" s="2"/>
    </row>
    <row r="27" customFormat="false" ht="15" hidden="false" customHeight="false" outlineLevel="0" collapsed="false">
      <c r="A27" s="4" t="s">
        <v>78</v>
      </c>
      <c r="B27" s="2"/>
      <c r="C27" s="2"/>
      <c r="D27" s="2"/>
      <c r="E27" s="2"/>
      <c r="F27" s="2"/>
      <c r="G27" s="2"/>
    </row>
    <row r="28" customFormat="false" ht="15" hidden="false" customHeight="false" outlineLevel="0" collapsed="false">
      <c r="A28" s="2" t="s">
        <v>79</v>
      </c>
      <c r="B28" s="16" t="n">
        <f aca="false">Supuestos!$B$8</f>
        <v>0.1</v>
      </c>
      <c r="C28" s="16" t="n">
        <f aca="false">Supuestos!$B$8</f>
        <v>0.1</v>
      </c>
      <c r="D28" s="16" t="n">
        <f aca="false">Supuestos!$B$8</f>
        <v>0.1</v>
      </c>
      <c r="E28" s="16" t="n">
        <f aca="false">Supuestos!$B$8</f>
        <v>0.1</v>
      </c>
      <c r="F28" s="16" t="n">
        <f aca="false">Supuestos!$B$8</f>
        <v>0.1</v>
      </c>
      <c r="G28" s="16" t="n">
        <f aca="false">Supuestos!$B$8</f>
        <v>0.1</v>
      </c>
    </row>
    <row r="29" customFormat="false" ht="15" hidden="false" customHeight="false" outlineLevel="0" collapsed="false">
      <c r="A29" s="2" t="s">
        <v>80</v>
      </c>
      <c r="B29" s="16" t="n">
        <f aca="false">-Supuestos!$B$42</f>
        <v>-0.36</v>
      </c>
      <c r="C29" s="16" t="n">
        <f aca="false">-Supuestos!$B$42</f>
        <v>-0.36</v>
      </c>
      <c r="D29" s="16" t="n">
        <f aca="false">-Supuestos!$B$42</f>
        <v>-0.36</v>
      </c>
      <c r="E29" s="16" t="n">
        <f aca="false">-Supuestos!$B$42</f>
        <v>-0.36</v>
      </c>
      <c r="F29" s="16" t="n">
        <f aca="false">-Supuestos!$B$42</f>
        <v>-0.36</v>
      </c>
      <c r="G29" s="16" t="n">
        <f aca="false">-Supuestos!$B$42</f>
        <v>-0.36</v>
      </c>
    </row>
    <row r="30" customFormat="false" ht="15" hidden="false" customHeight="false" outlineLevel="0" collapsed="false">
      <c r="A30" s="2" t="s">
        <v>81</v>
      </c>
      <c r="B30" s="16" t="n">
        <f aca="false">-MAX(0,Supuestos!$B$8-Supuestos!$B$42)*Supuestos!$B$18</f>
        <v>-0</v>
      </c>
      <c r="C30" s="16" t="n">
        <f aca="false">-MAX(0,Supuestos!$B$8-Supuestos!$B$42)*Supuestos!$B$18</f>
        <v>-0</v>
      </c>
      <c r="D30" s="16" t="n">
        <f aca="false">-MAX(0,Supuestos!$B$8-Supuestos!$B$42)*Supuestos!$B$18</f>
        <v>-0</v>
      </c>
      <c r="E30" s="16" t="n">
        <f aca="false">-MAX(0,Supuestos!$B$8-Supuestos!$B$42)*Supuestos!$B$18</f>
        <v>-0</v>
      </c>
      <c r="F30" s="16" t="n">
        <f aca="false">-MAX(0,Supuestos!$B$8-Supuestos!$B$42)*Supuestos!$B$18</f>
        <v>-0</v>
      </c>
      <c r="G30" s="16" t="n">
        <f aca="false">-MAX(0,Supuestos!$B$8-Supuestos!$B$42)*Supuestos!$B$18</f>
        <v>-0</v>
      </c>
    </row>
    <row r="31" customFormat="false" ht="15" hidden="false" customHeight="false" outlineLevel="0" collapsed="false">
      <c r="A31" s="2" t="s">
        <v>82</v>
      </c>
      <c r="B31" s="22" t="n">
        <f aca="false">B28+B29+B30</f>
        <v>-0.26</v>
      </c>
      <c r="C31" s="22" t="n">
        <f aca="false">C28+C29+C30</f>
        <v>-0.26</v>
      </c>
      <c r="D31" s="22" t="n">
        <f aca="false">D28+D29+D30</f>
        <v>-0.26</v>
      </c>
      <c r="E31" s="22" t="n">
        <f aca="false">E28+E29+E30</f>
        <v>-0.26</v>
      </c>
      <c r="F31" s="22" t="n">
        <f aca="false">F28+F29+F30</f>
        <v>-0.26</v>
      </c>
      <c r="G31" s="22" t="n">
        <f aca="false">G28+G29+G30</f>
        <v>-0.26</v>
      </c>
    </row>
    <row r="32" customFormat="false" ht="15" hidden="false" customHeight="false" outlineLevel="0" collapsed="false">
      <c r="A32" s="2" t="s">
        <v>83</v>
      </c>
      <c r="B32" s="22" t="n">
        <f aca="false">Supuestos!$B$8-Supuestos!$B$41-MAX(0,Supuestos!$B$8-Supuestos!$B$41)*Supuestos!$B$16</f>
        <v>-0.08</v>
      </c>
      <c r="C32" s="22" t="n">
        <f aca="false">Supuestos!$B$8-Supuestos!$B$41-MAX(0,Supuestos!$B$8-Supuestos!$B$41)*Supuestos!$B$16</f>
        <v>-0.08</v>
      </c>
      <c r="D32" s="22" t="n">
        <f aca="false">Supuestos!$B$8-Supuestos!$B$41-MAX(0,Supuestos!$B$8-Supuestos!$B$41)*Supuestos!$B$16</f>
        <v>-0.08</v>
      </c>
      <c r="E32" s="22" t="n">
        <f aca="false">Supuestos!$B$8-Supuestos!$B$41-MAX(0,Supuestos!$B$8-Supuestos!$B$41)*Supuestos!$B$16</f>
        <v>-0.08</v>
      </c>
      <c r="F32" s="22" t="n">
        <f aca="false">Supuestos!$B$8-Supuestos!$B$41-MAX(0,Supuestos!$B$8-Supuestos!$B$41)*Supuestos!$B$16</f>
        <v>-0.08</v>
      </c>
      <c r="G32" s="22" t="n">
        <f aca="false">Supuestos!$B$8-Supuestos!$B$41-MAX(0,Supuestos!$B$8-Supuestos!$B$41)*Supuestos!$B$16</f>
        <v>-0.08</v>
      </c>
    </row>
    <row r="33" customFormat="false" ht="15" hidden="false" customHeight="false" outlineLevel="0" collapsed="false">
      <c r="A33" s="2" t="s">
        <v>84</v>
      </c>
      <c r="B33" s="16" t="n">
        <f aca="false">Supuestos!$B$42</f>
        <v>0.36</v>
      </c>
      <c r="C33" s="16" t="n">
        <f aca="false">Supuestos!$B$42</f>
        <v>0.36</v>
      </c>
      <c r="D33" s="16" t="n">
        <f aca="false">Supuestos!$B$42</f>
        <v>0.36</v>
      </c>
      <c r="E33" s="16" t="n">
        <f aca="false">Supuestos!$B$42</f>
        <v>0.36</v>
      </c>
      <c r="F33" s="16" t="n">
        <f aca="false">Supuestos!$B$42</f>
        <v>0.36</v>
      </c>
      <c r="G33" s="16" t="n">
        <f aca="false">Supuestos!$B$42</f>
        <v>0.36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" t="s">
        <v>85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86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9" t="s">
        <v>87</v>
      </c>
      <c r="B4" s="5" t="n">
        <v>0.2</v>
      </c>
      <c r="C4" s="5" t="n">
        <v>0.4</v>
      </c>
      <c r="D4" s="5" t="n">
        <v>0.6</v>
      </c>
      <c r="E4" s="5" t="n">
        <v>0.8</v>
      </c>
      <c r="F4" s="5" t="n">
        <v>1</v>
      </c>
      <c r="G4" s="5" t="n">
        <v>1.5</v>
      </c>
    </row>
    <row r="5" customFormat="false" ht="15" hidden="false" customHeight="false" outlineLevel="0" collapsed="false">
      <c r="A5" s="7" t="n">
        <v>-0.1</v>
      </c>
      <c r="B5" s="23" t="n">
        <f aca="false">$A5-(B$4*Supuestos!$B$7*Supuestos!$B$17)-MAX(0,$A5-(B$4*Supuestos!$B$7*Supuestos!$B$17))*Supuestos!$B$18</f>
        <v>-0.22</v>
      </c>
      <c r="C5" s="23" t="n">
        <f aca="false">$A5-(C$4*Supuestos!$B$7*Supuestos!$B$17)-MAX(0,$A5-(C$4*Supuestos!$B$7*Supuestos!$B$17))*Supuestos!$B$18</f>
        <v>-0.34</v>
      </c>
      <c r="D5" s="23" t="n">
        <f aca="false">$A5-(D$4*Supuestos!$B$7*Supuestos!$B$17)-MAX(0,$A5-(D$4*Supuestos!$B$7*Supuestos!$B$17))*Supuestos!$B$18</f>
        <v>-0.46</v>
      </c>
      <c r="E5" s="23" t="n">
        <f aca="false">$A5-(E$4*Supuestos!$B$7*Supuestos!$B$17)-MAX(0,$A5-(E$4*Supuestos!$B$7*Supuestos!$B$17))*Supuestos!$B$18</f>
        <v>-0.58</v>
      </c>
      <c r="F5" s="23" t="n">
        <f aca="false">$A5-(F$4*Supuestos!$B$7*Supuestos!$B$17)-MAX(0,$A5-(F$4*Supuestos!$B$7*Supuestos!$B$17))*Supuestos!$B$18</f>
        <v>-0.7</v>
      </c>
      <c r="G5" s="23" t="n">
        <f aca="false">$A5-(G$4*Supuestos!$B$7*Supuestos!$B$17)-MAX(0,$A5-(G$4*Supuestos!$B$7*Supuestos!$B$17))*Supuestos!$B$18</f>
        <v>-1</v>
      </c>
    </row>
    <row r="6" customFormat="false" ht="15" hidden="false" customHeight="false" outlineLevel="0" collapsed="false">
      <c r="A6" s="7" t="n">
        <v>0</v>
      </c>
      <c r="B6" s="23" t="n">
        <f aca="false">$A6-(B$4*Supuestos!$B$7*Supuestos!$B$17)-MAX(0,$A6-(B$4*Supuestos!$B$7*Supuestos!$B$17))*Supuestos!$B$18</f>
        <v>-0.12</v>
      </c>
      <c r="C6" s="23" t="n">
        <f aca="false">$A6-(C$4*Supuestos!$B$7*Supuestos!$B$17)-MAX(0,$A6-(C$4*Supuestos!$B$7*Supuestos!$B$17))*Supuestos!$B$18</f>
        <v>-0.24</v>
      </c>
      <c r="D6" s="23" t="n">
        <f aca="false">$A6-(D$4*Supuestos!$B$7*Supuestos!$B$17)-MAX(0,$A6-(D$4*Supuestos!$B$7*Supuestos!$B$17))*Supuestos!$B$18</f>
        <v>-0.36</v>
      </c>
      <c r="E6" s="23" t="n">
        <f aca="false">$A6-(E$4*Supuestos!$B$7*Supuestos!$B$17)-MAX(0,$A6-(E$4*Supuestos!$B$7*Supuestos!$B$17))*Supuestos!$B$18</f>
        <v>-0.48</v>
      </c>
      <c r="F6" s="23" t="n">
        <f aca="false">$A6-(F$4*Supuestos!$B$7*Supuestos!$B$17)-MAX(0,$A6-(F$4*Supuestos!$B$7*Supuestos!$B$17))*Supuestos!$B$18</f>
        <v>-0.6</v>
      </c>
      <c r="G6" s="23" t="n">
        <f aca="false">$A6-(G$4*Supuestos!$B$7*Supuestos!$B$17)-MAX(0,$A6-(G$4*Supuestos!$B$7*Supuestos!$B$17))*Supuestos!$B$18</f>
        <v>-0.9</v>
      </c>
    </row>
    <row r="7" customFormat="false" ht="15" hidden="false" customHeight="false" outlineLevel="0" collapsed="false">
      <c r="A7" s="7" t="n">
        <v>0.05</v>
      </c>
      <c r="B7" s="23" t="n">
        <f aca="false">$A7-(B$4*Supuestos!$B$7*Supuestos!$B$17)-MAX(0,$A7-(B$4*Supuestos!$B$7*Supuestos!$B$17))*Supuestos!$B$18</f>
        <v>-0.07</v>
      </c>
      <c r="C7" s="23" t="n">
        <f aca="false">$A7-(C$4*Supuestos!$B$7*Supuestos!$B$17)-MAX(0,$A7-(C$4*Supuestos!$B$7*Supuestos!$B$17))*Supuestos!$B$18</f>
        <v>-0.19</v>
      </c>
      <c r="D7" s="23" t="n">
        <f aca="false">$A7-(D$4*Supuestos!$B$7*Supuestos!$B$17)-MAX(0,$A7-(D$4*Supuestos!$B$7*Supuestos!$B$17))*Supuestos!$B$18</f>
        <v>-0.31</v>
      </c>
      <c r="E7" s="23" t="n">
        <f aca="false">$A7-(E$4*Supuestos!$B$7*Supuestos!$B$17)-MAX(0,$A7-(E$4*Supuestos!$B$7*Supuestos!$B$17))*Supuestos!$B$18</f>
        <v>-0.43</v>
      </c>
      <c r="F7" s="23" t="n">
        <f aca="false">$A7-(F$4*Supuestos!$B$7*Supuestos!$B$17)-MAX(0,$A7-(F$4*Supuestos!$B$7*Supuestos!$B$17))*Supuestos!$B$18</f>
        <v>-0.55</v>
      </c>
      <c r="G7" s="23" t="n">
        <f aca="false">$A7-(G$4*Supuestos!$B$7*Supuestos!$B$17)-MAX(0,$A7-(G$4*Supuestos!$B$7*Supuestos!$B$17))*Supuestos!$B$18</f>
        <v>-0.85</v>
      </c>
    </row>
    <row r="8" customFormat="false" ht="15" hidden="false" customHeight="false" outlineLevel="0" collapsed="false">
      <c r="A8" s="7" t="n">
        <v>0.1</v>
      </c>
      <c r="B8" s="23" t="n">
        <f aca="false">$A8-(B$4*Supuestos!$B$7*Supuestos!$B$17)-MAX(0,$A8-(B$4*Supuestos!$B$7*Supuestos!$B$17))*Supuestos!$B$18</f>
        <v>-0.02</v>
      </c>
      <c r="C8" s="23" t="n">
        <f aca="false">$A8-(C$4*Supuestos!$B$7*Supuestos!$B$17)-MAX(0,$A8-(C$4*Supuestos!$B$7*Supuestos!$B$17))*Supuestos!$B$18</f>
        <v>-0.14</v>
      </c>
      <c r="D8" s="23" t="n">
        <f aca="false">$A8-(D$4*Supuestos!$B$7*Supuestos!$B$17)-MAX(0,$A8-(D$4*Supuestos!$B$7*Supuestos!$B$17))*Supuestos!$B$18</f>
        <v>-0.26</v>
      </c>
      <c r="E8" s="23" t="n">
        <f aca="false">$A8-(E$4*Supuestos!$B$7*Supuestos!$B$17)-MAX(0,$A8-(E$4*Supuestos!$B$7*Supuestos!$B$17))*Supuestos!$B$18</f>
        <v>-0.38</v>
      </c>
      <c r="F8" s="23" t="n">
        <f aca="false">$A8-(F$4*Supuestos!$B$7*Supuestos!$B$17)-MAX(0,$A8-(F$4*Supuestos!$B$7*Supuestos!$B$17))*Supuestos!$B$18</f>
        <v>-0.5</v>
      </c>
      <c r="G8" s="23" t="n">
        <f aca="false">$A8-(G$4*Supuestos!$B$7*Supuestos!$B$17)-MAX(0,$A8-(G$4*Supuestos!$B$7*Supuestos!$B$17))*Supuestos!$B$18</f>
        <v>-0.8</v>
      </c>
    </row>
    <row r="9" customFormat="false" ht="15" hidden="false" customHeight="false" outlineLevel="0" collapsed="false">
      <c r="A9" s="7" t="n">
        <v>0.2</v>
      </c>
      <c r="B9" s="23" t="n">
        <f aca="false">$A9-(B$4*Supuestos!$B$7*Supuestos!$B$17)-MAX(0,$A9-(B$4*Supuestos!$B$7*Supuestos!$B$17))*Supuestos!$B$18</f>
        <v>0.072</v>
      </c>
      <c r="C9" s="23" t="n">
        <f aca="false">$A9-(C$4*Supuestos!$B$7*Supuestos!$B$17)-MAX(0,$A9-(C$4*Supuestos!$B$7*Supuestos!$B$17))*Supuestos!$B$18</f>
        <v>-0.04</v>
      </c>
      <c r="D9" s="23" t="n">
        <f aca="false">$A9-(D$4*Supuestos!$B$7*Supuestos!$B$17)-MAX(0,$A9-(D$4*Supuestos!$B$7*Supuestos!$B$17))*Supuestos!$B$18</f>
        <v>-0.16</v>
      </c>
      <c r="E9" s="23" t="n">
        <f aca="false">$A9-(E$4*Supuestos!$B$7*Supuestos!$B$17)-MAX(0,$A9-(E$4*Supuestos!$B$7*Supuestos!$B$17))*Supuestos!$B$18</f>
        <v>-0.28</v>
      </c>
      <c r="F9" s="23" t="n">
        <f aca="false">$A9-(F$4*Supuestos!$B$7*Supuestos!$B$17)-MAX(0,$A9-(F$4*Supuestos!$B$7*Supuestos!$B$17))*Supuestos!$B$18</f>
        <v>-0.4</v>
      </c>
      <c r="G9" s="23" t="n">
        <f aca="false">$A9-(G$4*Supuestos!$B$7*Supuestos!$B$17)-MAX(0,$A9-(G$4*Supuestos!$B$7*Supuestos!$B$17))*Supuestos!$B$18</f>
        <v>-0.7</v>
      </c>
    </row>
    <row r="10" customFormat="false" ht="15" hidden="false" customHeight="false" outlineLevel="0" collapsed="false">
      <c r="A10" s="7" t="n">
        <v>0.3</v>
      </c>
      <c r="B10" s="23" t="n">
        <f aca="false">$A10-(B$4*Supuestos!$B$7*Supuestos!$B$17)-MAX(0,$A10-(B$4*Supuestos!$B$7*Supuestos!$B$17))*Supuestos!$B$18</f>
        <v>0.162</v>
      </c>
      <c r="C10" s="23" t="n">
        <f aca="false">$A10-(C$4*Supuestos!$B$7*Supuestos!$B$17)-MAX(0,$A10-(C$4*Supuestos!$B$7*Supuestos!$B$17))*Supuestos!$B$18</f>
        <v>0.054</v>
      </c>
      <c r="D10" s="23" t="n">
        <f aca="false">$A10-(D$4*Supuestos!$B$7*Supuestos!$B$17)-MAX(0,$A10-(D$4*Supuestos!$B$7*Supuestos!$B$17))*Supuestos!$B$18</f>
        <v>-0.06</v>
      </c>
      <c r="E10" s="23" t="n">
        <f aca="false">$A10-(E$4*Supuestos!$B$7*Supuestos!$B$17)-MAX(0,$A10-(E$4*Supuestos!$B$7*Supuestos!$B$17))*Supuestos!$B$18</f>
        <v>-0.18</v>
      </c>
      <c r="F10" s="23" t="n">
        <f aca="false">$A10-(F$4*Supuestos!$B$7*Supuestos!$B$17)-MAX(0,$A10-(F$4*Supuestos!$B$7*Supuestos!$B$17))*Supuestos!$B$18</f>
        <v>-0.3</v>
      </c>
      <c r="G10" s="23" t="n">
        <f aca="false">$A10-(G$4*Supuestos!$B$7*Supuestos!$B$17)-MAX(0,$A10-(G$4*Supuestos!$B$7*Supuestos!$B$17))*Supuestos!$B$18</f>
        <v>-0.6</v>
      </c>
    </row>
    <row r="11" customFormat="false" ht="15" hidden="false" customHeight="false" outlineLevel="0" collapsed="false">
      <c r="A11" s="7" t="n">
        <v>0.5</v>
      </c>
      <c r="B11" s="23" t="n">
        <f aca="false">$A11-(B$4*Supuestos!$B$7*Supuestos!$B$17)-MAX(0,$A11-(B$4*Supuestos!$B$7*Supuestos!$B$17))*Supuestos!$B$18</f>
        <v>0.342</v>
      </c>
      <c r="C11" s="23" t="n">
        <f aca="false">$A11-(C$4*Supuestos!$B$7*Supuestos!$B$17)-MAX(0,$A11-(C$4*Supuestos!$B$7*Supuestos!$B$17))*Supuestos!$B$18</f>
        <v>0.234</v>
      </c>
      <c r="D11" s="23" t="n">
        <f aca="false">$A11-(D$4*Supuestos!$B$7*Supuestos!$B$17)-MAX(0,$A11-(D$4*Supuestos!$B$7*Supuestos!$B$17))*Supuestos!$B$18</f>
        <v>0.126</v>
      </c>
      <c r="E11" s="23" t="n">
        <f aca="false">$A11-(E$4*Supuestos!$B$7*Supuestos!$B$17)-MAX(0,$A11-(E$4*Supuestos!$B$7*Supuestos!$B$17))*Supuestos!$B$18</f>
        <v>0.018</v>
      </c>
      <c r="F11" s="23" t="n">
        <f aca="false">$A11-(F$4*Supuestos!$B$7*Supuestos!$B$17)-MAX(0,$A11-(F$4*Supuestos!$B$7*Supuestos!$B$17))*Supuestos!$B$18</f>
        <v>-0.1</v>
      </c>
      <c r="G11" s="23" t="n">
        <f aca="false">$A11-(G$4*Supuestos!$B$7*Supuestos!$B$17)-MAX(0,$A11-(G$4*Supuestos!$B$7*Supuestos!$B$17))*Supuestos!$B$18</f>
        <v>-0.4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9" t="s">
        <v>88</v>
      </c>
      <c r="B13" s="2"/>
      <c r="C13" s="2"/>
      <c r="D13" s="2"/>
      <c r="E13" s="2"/>
      <c r="F13" s="2"/>
      <c r="G13" s="2"/>
    </row>
    <row r="14" customFormat="false" ht="15" hidden="false" customHeight="false" outlineLevel="0" collapsed="false">
      <c r="A14" s="2"/>
      <c r="B14" s="24" t="n">
        <f aca="false">B$4</f>
        <v>0.2</v>
      </c>
      <c r="C14" s="24" t="n">
        <f aca="false">C$4</f>
        <v>0.4</v>
      </c>
      <c r="D14" s="24" t="n">
        <f aca="false">D$4</f>
        <v>0.6</v>
      </c>
      <c r="E14" s="24" t="n">
        <f aca="false">E$4</f>
        <v>0.8</v>
      </c>
      <c r="F14" s="24" t="n">
        <f aca="false">F$4</f>
        <v>1</v>
      </c>
      <c r="G14" s="24" t="n">
        <f aca="false">G$4</f>
        <v>1.5</v>
      </c>
    </row>
    <row r="15" customFormat="false" ht="15" hidden="false" customHeight="false" outlineLevel="0" collapsed="false">
      <c r="A15" s="23" t="n">
        <f aca="false">$A5</f>
        <v>-0.1</v>
      </c>
      <c r="B15" s="23" t="n">
        <f aca="false">$A15-(B$4*Supuestos!$B$7*Supuestos!$B$15)-MAX(0,$A15-(B$4*Supuestos!$B$7*Supuestos!$B$15))*Supuestos!$B$16</f>
        <v>-0.16</v>
      </c>
      <c r="C15" s="23" t="n">
        <f aca="false">$A15-(C$4*Supuestos!$B$7*Supuestos!$B$15)-MAX(0,$A15-(C$4*Supuestos!$B$7*Supuestos!$B$15))*Supuestos!$B$16</f>
        <v>-0.22</v>
      </c>
      <c r="D15" s="23" t="n">
        <f aca="false">$A15-(D$4*Supuestos!$B$7*Supuestos!$B$15)-MAX(0,$A15-(D$4*Supuestos!$B$7*Supuestos!$B$15))*Supuestos!$B$16</f>
        <v>-0.28</v>
      </c>
      <c r="E15" s="23" t="n">
        <f aca="false">$A15-(E$4*Supuestos!$B$7*Supuestos!$B$15)-MAX(0,$A15-(E$4*Supuestos!$B$7*Supuestos!$B$15))*Supuestos!$B$16</f>
        <v>-0.34</v>
      </c>
      <c r="F15" s="23" t="n">
        <f aca="false">$A15-(F$4*Supuestos!$B$7*Supuestos!$B$15)-MAX(0,$A15-(F$4*Supuestos!$B$7*Supuestos!$B$15))*Supuestos!$B$16</f>
        <v>-0.4</v>
      </c>
      <c r="G15" s="23" t="n">
        <f aca="false">$A15-(G$4*Supuestos!$B$7*Supuestos!$B$15)-MAX(0,$A15-(G$4*Supuestos!$B$7*Supuestos!$B$15))*Supuestos!$B$16</f>
        <v>-0.55</v>
      </c>
    </row>
    <row r="16" customFormat="false" ht="15" hidden="false" customHeight="false" outlineLevel="0" collapsed="false">
      <c r="A16" s="23" t="n">
        <f aca="false">$A6</f>
        <v>0</v>
      </c>
      <c r="B16" s="23" t="n">
        <f aca="false">$A16-(B$4*Supuestos!$B$7*Supuestos!$B$15)-MAX(0,$A16-(B$4*Supuestos!$B$7*Supuestos!$B$15))*Supuestos!$B$16</f>
        <v>-0.06</v>
      </c>
      <c r="C16" s="23" t="n">
        <f aca="false">$A16-(C$4*Supuestos!$B$7*Supuestos!$B$15)-MAX(0,$A16-(C$4*Supuestos!$B$7*Supuestos!$B$15))*Supuestos!$B$16</f>
        <v>-0.12</v>
      </c>
      <c r="D16" s="23" t="n">
        <f aca="false">$A16-(D$4*Supuestos!$B$7*Supuestos!$B$15)-MAX(0,$A16-(D$4*Supuestos!$B$7*Supuestos!$B$15))*Supuestos!$B$16</f>
        <v>-0.18</v>
      </c>
      <c r="E16" s="23" t="n">
        <f aca="false">$A16-(E$4*Supuestos!$B$7*Supuestos!$B$15)-MAX(0,$A16-(E$4*Supuestos!$B$7*Supuestos!$B$15))*Supuestos!$B$16</f>
        <v>-0.24</v>
      </c>
      <c r="F16" s="23" t="n">
        <f aca="false">$A16-(F$4*Supuestos!$B$7*Supuestos!$B$15)-MAX(0,$A16-(F$4*Supuestos!$B$7*Supuestos!$B$15))*Supuestos!$B$16</f>
        <v>-0.3</v>
      </c>
      <c r="G16" s="23" t="n">
        <f aca="false">$A16-(G$4*Supuestos!$B$7*Supuestos!$B$15)-MAX(0,$A16-(G$4*Supuestos!$B$7*Supuestos!$B$15))*Supuestos!$B$16</f>
        <v>-0.45</v>
      </c>
    </row>
    <row r="17" customFormat="false" ht="15" hidden="false" customHeight="false" outlineLevel="0" collapsed="false">
      <c r="A17" s="23" t="n">
        <f aca="false">$A7</f>
        <v>0.05</v>
      </c>
      <c r="B17" s="23" t="n">
        <f aca="false">$A17-(B$4*Supuestos!$B$7*Supuestos!$B$15)-MAX(0,$A17-(B$4*Supuestos!$B$7*Supuestos!$B$15))*Supuestos!$B$16</f>
        <v>-0.01</v>
      </c>
      <c r="C17" s="23" t="n">
        <f aca="false">$A17-(C$4*Supuestos!$B$7*Supuestos!$B$15)-MAX(0,$A17-(C$4*Supuestos!$B$7*Supuestos!$B$15))*Supuestos!$B$16</f>
        <v>-0.07</v>
      </c>
      <c r="D17" s="23" t="n">
        <f aca="false">$A17-(D$4*Supuestos!$B$7*Supuestos!$B$15)-MAX(0,$A17-(D$4*Supuestos!$B$7*Supuestos!$B$15))*Supuestos!$B$16</f>
        <v>-0.13</v>
      </c>
      <c r="E17" s="23" t="n">
        <f aca="false">$A17-(E$4*Supuestos!$B$7*Supuestos!$B$15)-MAX(0,$A17-(E$4*Supuestos!$B$7*Supuestos!$B$15))*Supuestos!$B$16</f>
        <v>-0.19</v>
      </c>
      <c r="F17" s="23" t="n">
        <f aca="false">$A17-(F$4*Supuestos!$B$7*Supuestos!$B$15)-MAX(0,$A17-(F$4*Supuestos!$B$7*Supuestos!$B$15))*Supuestos!$B$16</f>
        <v>-0.25</v>
      </c>
      <c r="G17" s="23" t="n">
        <f aca="false">$A17-(G$4*Supuestos!$B$7*Supuestos!$B$15)-MAX(0,$A17-(G$4*Supuestos!$B$7*Supuestos!$B$15))*Supuestos!$B$16</f>
        <v>-0.4</v>
      </c>
    </row>
    <row r="18" customFormat="false" ht="15" hidden="false" customHeight="false" outlineLevel="0" collapsed="false">
      <c r="A18" s="23" t="n">
        <f aca="false">$A8</f>
        <v>0.1</v>
      </c>
      <c r="B18" s="23" t="n">
        <f aca="false">$A18-(B$4*Supuestos!$B$7*Supuestos!$B$15)-MAX(0,$A18-(B$4*Supuestos!$B$7*Supuestos!$B$15))*Supuestos!$B$16</f>
        <v>0.04</v>
      </c>
      <c r="C18" s="23" t="n">
        <f aca="false">$A18-(C$4*Supuestos!$B$7*Supuestos!$B$15)-MAX(0,$A18-(C$4*Supuestos!$B$7*Supuestos!$B$15))*Supuestos!$B$16</f>
        <v>-0.02</v>
      </c>
      <c r="D18" s="23" t="n">
        <f aca="false">$A18-(D$4*Supuestos!$B$7*Supuestos!$B$15)-MAX(0,$A18-(D$4*Supuestos!$B$7*Supuestos!$B$15))*Supuestos!$B$16</f>
        <v>-0.08</v>
      </c>
      <c r="E18" s="23" t="n">
        <f aca="false">$A18-(E$4*Supuestos!$B$7*Supuestos!$B$15)-MAX(0,$A18-(E$4*Supuestos!$B$7*Supuestos!$B$15))*Supuestos!$B$16</f>
        <v>-0.14</v>
      </c>
      <c r="F18" s="23" t="n">
        <f aca="false">$A18-(F$4*Supuestos!$B$7*Supuestos!$B$15)-MAX(0,$A18-(F$4*Supuestos!$B$7*Supuestos!$B$15))*Supuestos!$B$16</f>
        <v>-0.2</v>
      </c>
      <c r="G18" s="23" t="n">
        <f aca="false">$A18-(G$4*Supuestos!$B$7*Supuestos!$B$15)-MAX(0,$A18-(G$4*Supuestos!$B$7*Supuestos!$B$15))*Supuestos!$B$16</f>
        <v>-0.35</v>
      </c>
    </row>
    <row r="19" customFormat="false" ht="15" hidden="false" customHeight="false" outlineLevel="0" collapsed="false">
      <c r="A19" s="23" t="n">
        <f aca="false">$A9</f>
        <v>0.2</v>
      </c>
      <c r="B19" s="23" t="n">
        <f aca="false">$A19-(B$4*Supuestos!$B$7*Supuestos!$B$15)-MAX(0,$A19-(B$4*Supuestos!$B$7*Supuestos!$B$15))*Supuestos!$B$16</f>
        <v>0.14</v>
      </c>
      <c r="C19" s="23" t="n">
        <f aca="false">$A19-(C$4*Supuestos!$B$7*Supuestos!$B$15)-MAX(0,$A19-(C$4*Supuestos!$B$7*Supuestos!$B$15))*Supuestos!$B$16</f>
        <v>0.08</v>
      </c>
      <c r="D19" s="23" t="n">
        <f aca="false">$A19-(D$4*Supuestos!$B$7*Supuestos!$B$15)-MAX(0,$A19-(D$4*Supuestos!$B$7*Supuestos!$B$15))*Supuestos!$B$16</f>
        <v>0.02</v>
      </c>
      <c r="E19" s="23" t="n">
        <f aca="false">$A19-(E$4*Supuestos!$B$7*Supuestos!$B$15)-MAX(0,$A19-(E$4*Supuestos!$B$7*Supuestos!$B$15))*Supuestos!$B$16</f>
        <v>-0.04</v>
      </c>
      <c r="F19" s="23" t="n">
        <f aca="false">$A19-(F$4*Supuestos!$B$7*Supuestos!$B$15)-MAX(0,$A19-(F$4*Supuestos!$B$7*Supuestos!$B$15))*Supuestos!$B$16</f>
        <v>-0.1</v>
      </c>
      <c r="G19" s="23" t="n">
        <f aca="false">$A19-(G$4*Supuestos!$B$7*Supuestos!$B$15)-MAX(0,$A19-(G$4*Supuestos!$B$7*Supuestos!$B$15))*Supuestos!$B$16</f>
        <v>-0.25</v>
      </c>
    </row>
    <row r="20" customFormat="false" ht="15" hidden="false" customHeight="false" outlineLevel="0" collapsed="false">
      <c r="A20" s="23" t="n">
        <f aca="false">$A10</f>
        <v>0.3</v>
      </c>
      <c r="B20" s="23" t="n">
        <f aca="false">$A20-(B$4*Supuestos!$B$7*Supuestos!$B$15)-MAX(0,$A20-(B$4*Supuestos!$B$7*Supuestos!$B$15))*Supuestos!$B$16</f>
        <v>0.24</v>
      </c>
      <c r="C20" s="23" t="n">
        <f aca="false">$A20-(C$4*Supuestos!$B$7*Supuestos!$B$15)-MAX(0,$A20-(C$4*Supuestos!$B$7*Supuestos!$B$15))*Supuestos!$B$16</f>
        <v>0.18</v>
      </c>
      <c r="D20" s="23" t="n">
        <f aca="false">$A20-(D$4*Supuestos!$B$7*Supuestos!$B$15)-MAX(0,$A20-(D$4*Supuestos!$B$7*Supuestos!$B$15))*Supuestos!$B$16</f>
        <v>0.12</v>
      </c>
      <c r="E20" s="23" t="n">
        <f aca="false">$A20-(E$4*Supuestos!$B$7*Supuestos!$B$15)-MAX(0,$A20-(E$4*Supuestos!$B$7*Supuestos!$B$15))*Supuestos!$B$16</f>
        <v>0.06</v>
      </c>
      <c r="F20" s="23" t="n">
        <f aca="false">$A20-(F$4*Supuestos!$B$7*Supuestos!$B$15)-MAX(0,$A20-(F$4*Supuestos!$B$7*Supuestos!$B$15))*Supuestos!$B$16</f>
        <v>0</v>
      </c>
      <c r="G20" s="23" t="n">
        <f aca="false">$A20-(G$4*Supuestos!$B$7*Supuestos!$B$15)-MAX(0,$A20-(G$4*Supuestos!$B$7*Supuestos!$B$15))*Supuestos!$B$16</f>
        <v>-0.15</v>
      </c>
    </row>
    <row r="21" customFormat="false" ht="15" hidden="false" customHeight="false" outlineLevel="0" collapsed="false">
      <c r="A21" s="23" t="n">
        <f aca="false">$A11</f>
        <v>0.5</v>
      </c>
      <c r="B21" s="23" t="n">
        <f aca="false">$A21-(B$4*Supuestos!$B$7*Supuestos!$B$15)-MAX(0,$A21-(B$4*Supuestos!$B$7*Supuestos!$B$15))*Supuestos!$B$16</f>
        <v>0.44</v>
      </c>
      <c r="C21" s="23" t="n">
        <f aca="false">$A21-(C$4*Supuestos!$B$7*Supuestos!$B$15)-MAX(0,$A21-(C$4*Supuestos!$B$7*Supuestos!$B$15))*Supuestos!$B$16</f>
        <v>0.38</v>
      </c>
      <c r="D21" s="23" t="n">
        <f aca="false">$A21-(D$4*Supuestos!$B$7*Supuestos!$B$15)-MAX(0,$A21-(D$4*Supuestos!$B$7*Supuestos!$B$15))*Supuestos!$B$16</f>
        <v>0.32</v>
      </c>
      <c r="E21" s="23" t="n">
        <f aca="false">$A21-(E$4*Supuestos!$B$7*Supuestos!$B$15)-MAX(0,$A21-(E$4*Supuestos!$B$7*Supuestos!$B$15))*Supuestos!$B$16</f>
        <v>0.26</v>
      </c>
      <c r="F21" s="23" t="n">
        <f aca="false">$A21-(F$4*Supuestos!$B$7*Supuestos!$B$15)-MAX(0,$A21-(F$4*Supuestos!$B$7*Supuestos!$B$15))*Supuestos!$B$16</f>
        <v>0.2</v>
      </c>
      <c r="G21" s="23" t="n">
        <f aca="false">$A21-(G$4*Supuestos!$B$7*Supuestos!$B$15)-MAX(0,$A21-(G$4*Supuestos!$B$7*Supuestos!$B$15))*Supuestos!$B$16</f>
        <v>0.05</v>
      </c>
    </row>
  </sheetData>
  <conditionalFormatting sqref="B5:G1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B15:G21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89</v>
      </c>
      <c r="B1" s="2"/>
      <c r="C1" s="2"/>
      <c r="D1" s="2"/>
    </row>
    <row r="2" customFormat="false" ht="15" hidden="false" customHeight="false" outlineLevel="0" collapsed="false">
      <c r="A2" s="3" t="s">
        <v>90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9"/>
      <c r="B4" s="9" t="s">
        <v>91</v>
      </c>
      <c r="C4" s="9" t="s">
        <v>92</v>
      </c>
      <c r="D4" s="9" t="s">
        <v>93</v>
      </c>
    </row>
    <row r="5" customFormat="false" ht="15" hidden="false" customHeight="false" outlineLevel="0" collapsed="false">
      <c r="A5" s="2" t="s">
        <v>21</v>
      </c>
      <c r="B5" s="25" t="n">
        <f aca="false">Supuestos!$B$17</f>
        <v>0.02</v>
      </c>
      <c r="C5" s="7" t="n">
        <v>0.0025</v>
      </c>
      <c r="D5" s="7" t="n">
        <v>0</v>
      </c>
    </row>
    <row r="6" customFormat="false" ht="15" hidden="false" customHeight="false" outlineLevel="0" collapsed="false">
      <c r="A6" s="2" t="s">
        <v>94</v>
      </c>
      <c r="B6" s="25" t="n">
        <f aca="false">Supuestos!$B$18</f>
        <v>0.1</v>
      </c>
      <c r="C6" s="7" t="n">
        <v>0.2</v>
      </c>
      <c r="D6" s="7" t="n">
        <v>0.25</v>
      </c>
    </row>
    <row r="7" customFormat="false" ht="15" hidden="false" customHeight="false" outlineLevel="0" collapsed="false">
      <c r="A7" s="2" t="s">
        <v>95</v>
      </c>
      <c r="B7" s="25" t="n">
        <f aca="false">Supuestos!$B$15</f>
        <v>0.01</v>
      </c>
      <c r="C7" s="7" t="n">
        <v>0.0025</v>
      </c>
      <c r="D7" s="7" t="n">
        <v>0</v>
      </c>
    </row>
    <row r="8" customFormat="false" ht="15" hidden="false" customHeight="false" outlineLevel="0" collapsed="false">
      <c r="A8" s="2" t="s">
        <v>96</v>
      </c>
      <c r="B8" s="25" t="n">
        <f aca="false">Supuestos!$B$16</f>
        <v>0</v>
      </c>
      <c r="C8" s="7" t="n">
        <v>0.1</v>
      </c>
      <c r="D8" s="7" t="n">
        <v>0.15</v>
      </c>
    </row>
    <row r="9" customFormat="false" ht="15" hidden="false" customHeight="false" outlineLevel="0" collapsed="false">
      <c r="A9" s="2" t="s">
        <v>97</v>
      </c>
      <c r="B9" s="11" t="n">
        <v>0</v>
      </c>
      <c r="C9" s="11" t="n">
        <v>0</v>
      </c>
      <c r="D9" s="11" t="n">
        <v>0</v>
      </c>
    </row>
    <row r="10" customFormat="false" ht="15" hidden="false" customHeight="false" outlineLevel="0" collapsed="false">
      <c r="A10" s="26" t="s">
        <v>98</v>
      </c>
      <c r="B10" s="2"/>
      <c r="C10" s="2"/>
      <c r="D10" s="2"/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4" t="s">
        <v>99</v>
      </c>
      <c r="B12" s="2"/>
      <c r="C12" s="2"/>
      <c r="D12" s="2"/>
    </row>
    <row r="13" customFormat="false" ht="15" hidden="false" customHeight="false" outlineLevel="0" collapsed="false">
      <c r="A13" s="2" t="s">
        <v>100</v>
      </c>
      <c r="B13" s="27" t="n">
        <f aca="false">1000*Supuestos!$B$8</f>
        <v>100</v>
      </c>
      <c r="C13" s="27" t="n">
        <f aca="false">1000*Supuestos!$B$8</f>
        <v>100</v>
      </c>
      <c r="D13" s="27" t="n">
        <f aca="false">1000*Supuestos!$B$8</f>
        <v>100</v>
      </c>
    </row>
    <row r="14" customFormat="false" ht="15" hidden="false" customHeight="false" outlineLevel="0" collapsed="false">
      <c r="A14" s="2" t="s">
        <v>101</v>
      </c>
      <c r="B14" s="27" t="n">
        <f aca="false">1000*Supuestos!$B$40*B$5</f>
        <v>360</v>
      </c>
      <c r="C14" s="27" t="n">
        <f aca="false">1000*Supuestos!$B$40*C$5</f>
        <v>45</v>
      </c>
      <c r="D14" s="27" t="n">
        <f aca="false">1000*Supuestos!$B$40*D$5</f>
        <v>0</v>
      </c>
    </row>
    <row r="15" customFormat="false" ht="15" hidden="false" customHeight="false" outlineLevel="0" collapsed="false">
      <c r="A15" s="2" t="s">
        <v>102</v>
      </c>
      <c r="B15" s="27" t="n">
        <f aca="false">B13-B14</f>
        <v>-260</v>
      </c>
      <c r="C15" s="27" t="n">
        <f aca="false">C13-C14</f>
        <v>55</v>
      </c>
      <c r="D15" s="27" t="n">
        <f aca="false">D13-D14</f>
        <v>100</v>
      </c>
    </row>
    <row r="16" customFormat="false" ht="15" hidden="false" customHeight="false" outlineLevel="0" collapsed="false">
      <c r="A16" s="2" t="s">
        <v>103</v>
      </c>
      <c r="B16" s="27" t="n">
        <f aca="false">MAX(0,B15)*B$6</f>
        <v>0</v>
      </c>
      <c r="C16" s="27" t="n">
        <f aca="false">MAX(0,C15)*C$6</f>
        <v>11</v>
      </c>
      <c r="D16" s="27" t="n">
        <f aca="false">MAX(0,D15)*D$6</f>
        <v>25</v>
      </c>
    </row>
    <row r="17" customFormat="false" ht="15" hidden="false" customHeight="false" outlineLevel="0" collapsed="false">
      <c r="A17" s="2" t="s">
        <v>104</v>
      </c>
      <c r="B17" s="27" t="n">
        <f aca="false">B$9</f>
        <v>0</v>
      </c>
      <c r="C17" s="27" t="n">
        <f aca="false">C$9</f>
        <v>0</v>
      </c>
      <c r="D17" s="27" t="n">
        <f aca="false">D$9</f>
        <v>0</v>
      </c>
    </row>
    <row r="18" customFormat="false" ht="15" hidden="false" customHeight="false" outlineLevel="0" collapsed="false">
      <c r="A18" s="2" t="s">
        <v>105</v>
      </c>
      <c r="B18" s="21" t="n">
        <f aca="false">B15-B16-B17</f>
        <v>-260</v>
      </c>
      <c r="C18" s="21" t="n">
        <f aca="false">C15-C16-C17</f>
        <v>44</v>
      </c>
      <c r="D18" s="21" t="n">
        <f aca="false">D15-D16-D17</f>
        <v>75</v>
      </c>
    </row>
    <row r="19" customFormat="false" ht="15" hidden="false" customHeight="false" outlineLevel="0" collapsed="false">
      <c r="A19" s="2" t="s">
        <v>106</v>
      </c>
      <c r="B19" s="22" t="n">
        <f aca="false">B18/1000</f>
        <v>-0.26</v>
      </c>
      <c r="C19" s="22" t="n">
        <f aca="false">C18/1000</f>
        <v>0.044</v>
      </c>
      <c r="D19" s="22" t="n">
        <f aca="false">D18/1000</f>
        <v>0.075</v>
      </c>
    </row>
    <row r="20" customFormat="false" ht="15" hidden="false" customHeight="false" outlineLevel="0" collapsed="false">
      <c r="A20" s="2" t="s">
        <v>107</v>
      </c>
      <c r="B20" s="21" t="n">
        <f aca="false">B14+B16+B17</f>
        <v>360</v>
      </c>
      <c r="C20" s="21" t="n">
        <f aca="false">C14+C16+C17</f>
        <v>56</v>
      </c>
      <c r="D20" s="21" t="n">
        <f aca="false">D14+D16+D17</f>
        <v>25</v>
      </c>
    </row>
    <row r="21" customFormat="false" ht="15" hidden="false" customHeight="false" outlineLevel="0" collapsed="false">
      <c r="A21" s="2" t="s">
        <v>108</v>
      </c>
      <c r="B21" s="27" t="n">
        <f aca="false">Supuestos!$B$43</f>
        <v>16.2</v>
      </c>
      <c r="C21" s="27" t="n">
        <f aca="false">Supuestos!$B$43</f>
        <v>16.2</v>
      </c>
      <c r="D21" s="27" t="n">
        <f aca="false">Supuestos!$B$43</f>
        <v>16.2</v>
      </c>
    </row>
    <row r="22" customFormat="false" ht="15" hidden="false" customHeight="false" outlineLevel="0" collapsed="false">
      <c r="A22" s="2" t="s">
        <v>109</v>
      </c>
      <c r="B22" s="27" t="n">
        <f aca="false">B20-B21</f>
        <v>343.8</v>
      </c>
      <c r="C22" s="27" t="n">
        <f aca="false">C20-C21</f>
        <v>39.8</v>
      </c>
      <c r="D22" s="27" t="n">
        <f aca="false">D20-D21</f>
        <v>8.8</v>
      </c>
    </row>
    <row r="23" customFormat="false" ht="15" hidden="false" customHeight="false" outlineLevel="0" collapsed="false">
      <c r="A23" s="2" t="s">
        <v>110</v>
      </c>
      <c r="B23" s="23" t="n">
        <f aca="false">B14/1000</f>
        <v>0.36</v>
      </c>
      <c r="C23" s="23" t="n">
        <f aca="false">C14/1000</f>
        <v>0.045</v>
      </c>
      <c r="D23" s="23" t="n">
        <f aca="false">D14/1000</f>
        <v>0</v>
      </c>
    </row>
    <row r="24" customFormat="false" ht="15" hidden="false" customHeight="false" outlineLevel="0" collapsed="false">
      <c r="A24" s="2"/>
      <c r="B24" s="2"/>
      <c r="C24" s="2"/>
      <c r="D24" s="2"/>
    </row>
    <row r="25" customFormat="false" ht="15" hidden="false" customHeight="false" outlineLevel="0" collapsed="false">
      <c r="A25" s="4" t="s">
        <v>111</v>
      </c>
      <c r="B25" s="2"/>
      <c r="C25" s="2"/>
      <c r="D25" s="2"/>
    </row>
    <row r="26" customFormat="false" ht="15" hidden="false" customHeight="false" outlineLevel="0" collapsed="false">
      <c r="A26" s="2" t="s">
        <v>100</v>
      </c>
      <c r="B26" s="27" t="n">
        <f aca="false">1000*-0.1</f>
        <v>-100</v>
      </c>
      <c r="C26" s="27" t="n">
        <f aca="false">1000*-0.1</f>
        <v>-100</v>
      </c>
      <c r="D26" s="27" t="n">
        <f aca="false">1000*-0.1</f>
        <v>-100</v>
      </c>
    </row>
    <row r="27" customFormat="false" ht="15" hidden="false" customHeight="false" outlineLevel="0" collapsed="false">
      <c r="A27" s="2" t="s">
        <v>101</v>
      </c>
      <c r="B27" s="27" t="n">
        <f aca="false">1000*Supuestos!$B$40*B$5</f>
        <v>360</v>
      </c>
      <c r="C27" s="27" t="n">
        <f aca="false">1000*Supuestos!$B$40*C$5</f>
        <v>45</v>
      </c>
      <c r="D27" s="27" t="n">
        <f aca="false">1000*Supuestos!$B$40*D$5</f>
        <v>0</v>
      </c>
    </row>
    <row r="28" customFormat="false" ht="15" hidden="false" customHeight="false" outlineLevel="0" collapsed="false">
      <c r="A28" s="2" t="s">
        <v>105</v>
      </c>
      <c r="B28" s="21" t="n">
        <f aca="false">B26-B27-B$9</f>
        <v>-460</v>
      </c>
      <c r="C28" s="21" t="n">
        <f aca="false">C26-C27-C$9</f>
        <v>-145</v>
      </c>
      <c r="D28" s="21" t="n">
        <f aca="false">D26-D27-D$9</f>
        <v>-100</v>
      </c>
    </row>
    <row r="29" customFormat="false" ht="15" hidden="false" customHeight="false" outlineLevel="0" collapsed="false">
      <c r="A29" s="2" t="s">
        <v>107</v>
      </c>
      <c r="B29" s="21" t="n">
        <f aca="false">B27+B$9</f>
        <v>360</v>
      </c>
      <c r="C29" s="21" t="n">
        <f aca="false">C27+C$9</f>
        <v>45</v>
      </c>
      <c r="D29" s="21" t="n">
        <f aca="false">D27+D$9</f>
        <v>0</v>
      </c>
    </row>
    <row r="30" customFormat="false" ht="15" hidden="false" customHeight="false" outlineLevel="0" collapsed="false">
      <c r="A30" s="2"/>
      <c r="B30" s="2"/>
      <c r="C30" s="2"/>
      <c r="D30" s="2"/>
    </row>
    <row r="31" customFormat="false" ht="42" hidden="false" customHeight="true" outlineLevel="0" collapsed="false">
      <c r="A31" s="28" t="s">
        <v>112</v>
      </c>
      <c r="B31" s="2"/>
      <c r="C31" s="2"/>
      <c r="D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113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114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9" t="s">
        <v>59</v>
      </c>
      <c r="B4" s="29" t="n">
        <f aca="false">Escenarios!B4</f>
        <v>10</v>
      </c>
      <c r="C4" s="29" t="n">
        <f aca="false">Escenarios!C4</f>
        <v>25</v>
      </c>
      <c r="D4" s="29" t="n">
        <f aca="false">Escenarios!D4</f>
        <v>50</v>
      </c>
      <c r="E4" s="29" t="n">
        <f aca="false">Escenarios!E4</f>
        <v>100</v>
      </c>
      <c r="F4" s="29" t="n">
        <f aca="false">Escenarios!F4</f>
        <v>250</v>
      </c>
      <c r="G4" s="29" t="n">
        <f aca="false">Escenarios!G4</f>
        <v>1000</v>
      </c>
    </row>
    <row r="5" customFormat="false" ht="15" hidden="false" customHeight="false" outlineLevel="0" collapsed="false">
      <c r="A5" s="2" t="s">
        <v>60</v>
      </c>
      <c r="B5" s="27" t="n">
        <f aca="false">B$4*Supuestos!$B$34</f>
        <v>10000</v>
      </c>
      <c r="C5" s="27" t="n">
        <f aca="false">C$4*Supuestos!$B$34</f>
        <v>25000</v>
      </c>
      <c r="D5" s="27" t="n">
        <f aca="false">D$4*Supuestos!$B$34</f>
        <v>50000</v>
      </c>
      <c r="E5" s="27" t="n">
        <f aca="false">E$4*Supuestos!$B$34</f>
        <v>100000</v>
      </c>
      <c r="F5" s="27" t="n">
        <f aca="false">F$4*Supuestos!$B$34</f>
        <v>250000</v>
      </c>
      <c r="G5" s="27" t="n">
        <f aca="false">G$4*Supuestos!$B$34</f>
        <v>1000000</v>
      </c>
    </row>
    <row r="6" customFormat="false" ht="15" hidden="false" customHeight="false" outlineLevel="0" collapsed="false">
      <c r="A6" s="2" t="s">
        <v>61</v>
      </c>
      <c r="B6" s="27" t="n">
        <f aca="false">B5*Supuestos!$B$35</f>
        <v>5000</v>
      </c>
      <c r="C6" s="27" t="n">
        <f aca="false">C5*Supuestos!$B$35</f>
        <v>12500</v>
      </c>
      <c r="D6" s="27" t="n">
        <f aca="false">D5*Supuestos!$B$35</f>
        <v>25000</v>
      </c>
      <c r="E6" s="27" t="n">
        <f aca="false">E5*Supuestos!$B$35</f>
        <v>50000</v>
      </c>
      <c r="F6" s="27" t="n">
        <f aca="false">F5*Supuestos!$B$35</f>
        <v>125000</v>
      </c>
      <c r="G6" s="27" t="n">
        <f aca="false">G5*Supuestos!$B$35</f>
        <v>500000</v>
      </c>
    </row>
    <row r="7" customFormat="false" ht="15" hidden="false" customHeight="false" outlineLevel="0" collapsed="false">
      <c r="A7" s="2" t="s">
        <v>62</v>
      </c>
      <c r="B7" s="27" t="n">
        <f aca="false">B5-B6</f>
        <v>5000</v>
      </c>
      <c r="C7" s="27" t="n">
        <f aca="false">C5-C6</f>
        <v>12500</v>
      </c>
      <c r="D7" s="27" t="n">
        <f aca="false">D5-D6</f>
        <v>25000</v>
      </c>
      <c r="E7" s="27" t="n">
        <f aca="false">E5-E6</f>
        <v>50000</v>
      </c>
      <c r="F7" s="27" t="n">
        <f aca="false">F5-F6</f>
        <v>125000</v>
      </c>
      <c r="G7" s="27" t="n">
        <f aca="false">G5-G6</f>
        <v>500000</v>
      </c>
    </row>
    <row r="8" customFormat="false" ht="15" hidden="false" customHeight="false" outlineLevel="0" collapsed="false">
      <c r="A8" s="2" t="s">
        <v>115</v>
      </c>
      <c r="B8" s="27" t="n">
        <f aca="false">(B6*Alternativas!$C$7+B7*Alternativas!$C$5)*Supuestos!$B$40</f>
        <v>450</v>
      </c>
      <c r="C8" s="27" t="n">
        <f aca="false">(C6*Alternativas!$C$7+C7*Alternativas!$C$5)*Supuestos!$B$40</f>
        <v>1125</v>
      </c>
      <c r="D8" s="27" t="n">
        <f aca="false">(D6*Alternativas!$C$7+D7*Alternativas!$C$5)*Supuestos!$B$40</f>
        <v>2250</v>
      </c>
      <c r="E8" s="27" t="n">
        <f aca="false">(E6*Alternativas!$C$7+E7*Alternativas!$C$5)*Supuestos!$B$40</f>
        <v>4500</v>
      </c>
      <c r="F8" s="27" t="n">
        <f aca="false">(F6*Alternativas!$C$7+F7*Alternativas!$C$5)*Supuestos!$B$40</f>
        <v>11250</v>
      </c>
      <c r="G8" s="27" t="n">
        <f aca="false">(G6*Alternativas!$C$7+G7*Alternativas!$C$5)*Supuestos!$B$40</f>
        <v>45000</v>
      </c>
    </row>
    <row r="9" customFormat="false" ht="15" hidden="false" customHeight="false" outlineLevel="0" collapsed="false">
      <c r="A9" s="2" t="s">
        <v>116</v>
      </c>
      <c r="B9" s="27" t="n">
        <f aca="false">B7*MAX(0,Supuestos!$B$8-Supuestos!$B$40*Alternativas!$C$5)*Alternativas!$C$6+B6*MAX(0,Supuestos!$B$8-Supuestos!$B$40*Alternativas!$C$7)*Alternativas!$C$8</f>
        <v>82.5</v>
      </c>
      <c r="C9" s="27" t="n">
        <f aca="false">C7*MAX(0,Supuestos!$B$8-Supuestos!$B$40*Alternativas!$C$5)*Alternativas!$C$6+C6*MAX(0,Supuestos!$B$8-Supuestos!$B$40*Alternativas!$C$7)*Alternativas!$C$8</f>
        <v>206.25</v>
      </c>
      <c r="D9" s="27" t="n">
        <f aca="false">D7*MAX(0,Supuestos!$B$8-Supuestos!$B$40*Alternativas!$C$5)*Alternativas!$C$6+D6*MAX(0,Supuestos!$B$8-Supuestos!$B$40*Alternativas!$C$7)*Alternativas!$C$8</f>
        <v>412.5</v>
      </c>
      <c r="E9" s="27" t="n">
        <f aca="false">E7*MAX(0,Supuestos!$B$8-Supuestos!$B$40*Alternativas!$C$5)*Alternativas!$C$6+E6*MAX(0,Supuestos!$B$8-Supuestos!$B$40*Alternativas!$C$7)*Alternativas!$C$8</f>
        <v>825</v>
      </c>
      <c r="F9" s="27" t="n">
        <f aca="false">F7*MAX(0,Supuestos!$B$8-Supuestos!$B$40*Alternativas!$C$5)*Alternativas!$C$6+F6*MAX(0,Supuestos!$B$8-Supuestos!$B$40*Alternativas!$C$7)*Alternativas!$C$8</f>
        <v>2062.5</v>
      </c>
      <c r="G9" s="27" t="n">
        <f aca="false">G7*MAX(0,Supuestos!$B$8-Supuestos!$B$40*Alternativas!$C$5)*Alternativas!$C$6+G6*MAX(0,Supuestos!$B$8-Supuestos!$B$40*Alternativas!$C$7)*Alternativas!$C$8</f>
        <v>8250</v>
      </c>
    </row>
    <row r="10" customFormat="false" ht="15" hidden="false" customHeight="false" outlineLevel="0" collapsed="false">
      <c r="A10" s="2" t="s">
        <v>117</v>
      </c>
      <c r="B10" s="27" t="n">
        <f aca="false">B$4*Alternativas!$C$9</f>
        <v>0</v>
      </c>
      <c r="C10" s="27" t="n">
        <f aca="false">C$4*Alternativas!$C$9</f>
        <v>0</v>
      </c>
      <c r="D10" s="27" t="n">
        <f aca="false">D$4*Alternativas!$C$9</f>
        <v>0</v>
      </c>
      <c r="E10" s="27" t="n">
        <f aca="false">E$4*Alternativas!$C$9</f>
        <v>0</v>
      </c>
      <c r="F10" s="27" t="n">
        <f aca="false">F$4*Alternativas!$C$9</f>
        <v>0</v>
      </c>
      <c r="G10" s="27" t="n">
        <f aca="false">G$4*Alternativas!$C$9</f>
        <v>0</v>
      </c>
    </row>
    <row r="11" customFormat="false" ht="15" hidden="false" customHeight="false" outlineLevel="0" collapsed="false">
      <c r="A11" s="2" t="s">
        <v>69</v>
      </c>
      <c r="B11" s="27" t="n">
        <f aca="false">SUM(B8:B10)</f>
        <v>532.5</v>
      </c>
      <c r="C11" s="27" t="n">
        <f aca="false">SUM(C8:C10)</f>
        <v>1331.25</v>
      </c>
      <c r="D11" s="27" t="n">
        <f aca="false">SUM(D8:D10)</f>
        <v>2662.5</v>
      </c>
      <c r="E11" s="27" t="n">
        <f aca="false">SUM(E8:E10)</f>
        <v>5325</v>
      </c>
      <c r="F11" s="27" t="n">
        <f aca="false">SUM(F8:F10)</f>
        <v>13312.5</v>
      </c>
      <c r="G11" s="27" t="n">
        <f aca="false">SUM(G8:G10)</f>
        <v>53250</v>
      </c>
    </row>
    <row r="12" customFormat="false" ht="15" hidden="false" customHeight="false" outlineLevel="0" collapsed="false">
      <c r="A12" s="2" t="s">
        <v>74</v>
      </c>
      <c r="B12" s="27" t="n">
        <f aca="false">Escenarios!B21</f>
        <v>471</v>
      </c>
      <c r="C12" s="27" t="n">
        <f aca="false">Escenarios!C21</f>
        <v>714</v>
      </c>
      <c r="D12" s="27" t="n">
        <f aca="false">Escenarios!D21</f>
        <v>1319</v>
      </c>
      <c r="E12" s="27" t="n">
        <f aca="false">Escenarios!E21</f>
        <v>2129</v>
      </c>
      <c r="F12" s="27" t="n">
        <f aca="false">Escenarios!F21</f>
        <v>4559</v>
      </c>
      <c r="G12" s="27" t="n">
        <f aca="false">Escenarios!G21</f>
        <v>16709</v>
      </c>
    </row>
    <row r="13" customFormat="false" ht="15" hidden="false" customHeight="false" outlineLevel="0" collapsed="false">
      <c r="A13" s="2" t="s">
        <v>75</v>
      </c>
      <c r="B13" s="21" t="n">
        <f aca="false">B11-B12</f>
        <v>61.5000000000001</v>
      </c>
      <c r="C13" s="21" t="n">
        <f aca="false">C11-C12</f>
        <v>617.25</v>
      </c>
      <c r="D13" s="21" t="n">
        <f aca="false">D11-D12</f>
        <v>1343.5</v>
      </c>
      <c r="E13" s="21" t="n">
        <f aca="false">E11-E12</f>
        <v>3196</v>
      </c>
      <c r="F13" s="21" t="n">
        <f aca="false">F11-F12</f>
        <v>8753.5</v>
      </c>
      <c r="G13" s="21" t="n">
        <f aca="false">G11-G12</f>
        <v>36541</v>
      </c>
    </row>
    <row r="14" customFormat="false" ht="15" hidden="false" customHeight="false" outlineLevel="0" collapsed="false">
      <c r="A14" s="2" t="s">
        <v>82</v>
      </c>
      <c r="B14" s="22" t="n">
        <f aca="false">Supuestos!$B$8-Supuestos!$B$40*Alternativas!$C$5-MAX(0,Supuestos!$B$8-Supuestos!$B$40*Alternativas!$C$5)*Alternativas!$C$6</f>
        <v>0.044</v>
      </c>
      <c r="C14" s="22" t="n">
        <f aca="false">Supuestos!$B$8-Supuestos!$B$40*Alternativas!$C$5-MAX(0,Supuestos!$B$8-Supuestos!$B$40*Alternativas!$C$5)*Alternativas!$C$6</f>
        <v>0.044</v>
      </c>
      <c r="D14" s="22" t="n">
        <f aca="false">Supuestos!$B$8-Supuestos!$B$40*Alternativas!$C$5-MAX(0,Supuestos!$B$8-Supuestos!$B$40*Alternativas!$C$5)*Alternativas!$C$6</f>
        <v>0.044</v>
      </c>
      <c r="E14" s="22" t="n">
        <f aca="false">Supuestos!$B$8-Supuestos!$B$40*Alternativas!$C$5-MAX(0,Supuestos!$B$8-Supuestos!$B$40*Alternativas!$C$5)*Alternativas!$C$6</f>
        <v>0.044</v>
      </c>
      <c r="F14" s="22" t="n">
        <f aca="false">Supuestos!$B$8-Supuestos!$B$40*Alternativas!$C$5-MAX(0,Supuestos!$B$8-Supuestos!$B$40*Alternativas!$C$5)*Alternativas!$C$6</f>
        <v>0.044</v>
      </c>
      <c r="G14" s="22" t="n">
        <f aca="false">Supuestos!$B$8-Supuestos!$B$40*Alternativas!$C$5-MAX(0,Supuestos!$B$8-Supuestos!$B$40*Alternativas!$C$5)*Alternativas!$C$6</f>
        <v>0.044</v>
      </c>
    </row>
    <row r="15" customFormat="false" ht="15" hidden="false" customHeight="false" outlineLevel="0" collapsed="false">
      <c r="A15" s="2" t="s">
        <v>83</v>
      </c>
      <c r="B15" s="22" t="n">
        <f aca="false">Supuestos!$B$8-Supuestos!$B$40*Alternativas!$C$7-MAX(0,Supuestos!$B$8-Supuestos!$B$40*Alternativas!$C$7)*Alternativas!$C$8</f>
        <v>0.0495</v>
      </c>
      <c r="C15" s="22" t="n">
        <f aca="false">Supuestos!$B$8-Supuestos!$B$40*Alternativas!$C$7-MAX(0,Supuestos!$B$8-Supuestos!$B$40*Alternativas!$C$7)*Alternativas!$C$8</f>
        <v>0.0495</v>
      </c>
      <c r="D15" s="22" t="n">
        <f aca="false">Supuestos!$B$8-Supuestos!$B$40*Alternativas!$C$7-MAX(0,Supuestos!$B$8-Supuestos!$B$40*Alternativas!$C$7)*Alternativas!$C$8</f>
        <v>0.0495</v>
      </c>
      <c r="E15" s="22" t="n">
        <f aca="false">Supuestos!$B$8-Supuestos!$B$40*Alternativas!$C$7-MAX(0,Supuestos!$B$8-Supuestos!$B$40*Alternativas!$C$7)*Alternativas!$C$8</f>
        <v>0.0495</v>
      </c>
      <c r="F15" s="22" t="n">
        <f aca="false">Supuestos!$B$8-Supuestos!$B$40*Alternativas!$C$7-MAX(0,Supuestos!$B$8-Supuestos!$B$40*Alternativas!$C$7)*Alternativas!$C$8</f>
        <v>0.0495</v>
      </c>
      <c r="G15" s="22" t="n">
        <f aca="false">Supuestos!$B$8-Supuestos!$B$40*Alternativas!$C$7-MAX(0,Supuestos!$B$8-Supuestos!$B$40*Alternativas!$C$7)*Alternativas!$C$8</f>
        <v>0.0495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2026-10-29T15:43:57Z</dcterms:created>
  <dc:creator>openpyxl</dc:creator>
  <dc:description/>
  <dc:language>en-US</dc:language>
  <cp:lastModifiedBy/>
  <dcterms:modified xsi:type="dcterms:W3CDTF">2026-10-29T15:43:57Z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